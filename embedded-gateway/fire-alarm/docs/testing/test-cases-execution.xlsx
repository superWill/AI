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执行表" sheetId="1" state="visible" r:id="rId1"/>
    <sheet name="统计" sheetId="2" state="visible" r:id="rId2"/>
    <sheet name="菜单覆盖" sheetId="3" state="visible" r:id="rId3"/>
    <sheet name="缺陷汇总" sheetId="4" state="visible" r:id="rId4"/>
    <sheet name="分组统计" sheetId="5" state="visible" r:id="rId5"/>
  </sheets>
  <definedNames>
    <definedName name="_xlnm._FilterDatabase" localSheetId="0" hidden="1">'测试执行表'!$A$1:$N$593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999999"/>
    </font>
    <font>
      <b val="1"/>
    </font>
  </fonts>
  <fills count="8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C6EFCE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32" customWidth="1" min="4" max="4"/>
    <col width="5" customWidth="1" min="5" max="5"/>
    <col width="18" customWidth="1" min="6" max="6"/>
    <col width="36" customWidth="1" min="7" max="7"/>
    <col width="40" customWidth="1" min="8" max="8"/>
    <col width="40" customWidth="1" min="9" max="9"/>
    <col width="11" customWidth="1" min="10" max="10"/>
    <col width="9" customWidth="1" min="11" max="11"/>
    <col width="12" customWidth="1" min="12" max="12"/>
    <col width="22" customWidth="1" min="13" max="13"/>
    <col width="20" customWidth="1" min="14" max="14"/>
  </cols>
  <sheetData>
    <row r="1">
      <c r="A1" s="1" t="inlineStr">
        <is>
          <t>序号</t>
        </is>
      </c>
      <c r="B1" s="1" t="inlineStr">
        <is>
          <t>用例号</t>
        </is>
      </c>
      <c r="C1" s="1" t="inlineStr">
        <is>
          <t>分组</t>
        </is>
      </c>
      <c r="D1" s="1" t="inlineStr">
        <is>
          <t>名称</t>
        </is>
      </c>
      <c r="E1" s="1" t="inlineStr">
        <is>
          <t>级</t>
        </is>
      </c>
      <c r="F1" s="1" t="inlineStr">
        <is>
          <t>依据</t>
        </is>
      </c>
      <c r="G1" s="1" t="inlineStr">
        <is>
          <t>步骤要点</t>
        </is>
      </c>
      <c r="H1" s="1" t="inlineStr">
        <is>
          <t>判定准则(预期)</t>
        </is>
      </c>
      <c r="I1" s="1" t="inlineStr">
        <is>
          <t>测试结果</t>
        </is>
      </c>
      <c r="J1" s="1" t="inlineStr">
        <is>
          <t>是否通过</t>
        </is>
      </c>
      <c r="K1" s="1" t="inlineStr">
        <is>
          <t>测试人</t>
        </is>
      </c>
      <c r="L1" s="1" t="inlineStr">
        <is>
          <t>日期</t>
        </is>
      </c>
      <c r="M1" s="1" t="inlineStr">
        <is>
          <t>备注</t>
        </is>
      </c>
      <c r="N1" s="1" t="inlineStr">
        <is>
          <t>菜单归属</t>
        </is>
      </c>
    </row>
    <row r="2">
      <c r="A2" s="2" t="n">
        <v>1</v>
      </c>
      <c r="B2" s="2" t="inlineStr">
        <is>
          <t>FA-01</t>
        </is>
      </c>
      <c r="C2" s="3" t="inlineStr">
        <is>
          <t>火灾报警</t>
        </is>
      </c>
      <c r="D2" s="3" t="inlineStr">
        <is>
          <t>探测器火警响应（总案）——标准接线；对探测器加烟使其报警；计时起点＝探测器发出报警信号那一刻（确认灯亮/回路信号跳变），不是加烟那一刻</t>
        </is>
      </c>
      <c r="E2" s="2" t="inlineStr">
        <is>
          <t>P0</t>
        </is>
      </c>
      <c r="F2" s="3" t="inlineStr">
        <is>
          <t>5.4.1.1/5.4.1.2 ↔ 6.3.2</t>
        </is>
      </c>
      <c r="G2" s="3" t="inlineStr">
        <is>
          <t>探测器自身探测时间归 GB 4715，不计入本判据；建议双通道记录仪（探测器报警特征 vs 控制器声光）自动测间隔</t>
        </is>
      </c>
      <c r="H2" s="3" t="inlineStr">
        <is>
          <t>见子项</t>
        </is>
      </c>
      <c r="I2" s="4" t="inlineStr">
        <is>
          <t>（未填写原因，需补）</t>
        </is>
      </c>
      <c r="J2" s="5" t="inlineStr">
        <is>
          <t>通过</t>
        </is>
      </c>
      <c r="K2" s="2" t="n"/>
      <c r="L2" s="2" t="inlineStr">
        <is>
          <t>2026-08-18</t>
        </is>
      </c>
      <c r="M2" s="3" t="n"/>
      <c r="N2" s="2" t="n"/>
    </row>
    <row r="3">
      <c r="A3" s="2" t="n">
        <v>2</v>
      </c>
      <c r="B3" s="2" t="inlineStr">
        <is>
          <t>FA-01.1</t>
        </is>
      </c>
      <c r="C3" s="3" t="inlineStr">
        <is>
          <t>火灾报警</t>
        </is>
      </c>
      <c r="D3" s="3" t="inlineStr">
        <is>
          <t>火警声光响应时限</t>
        </is>
      </c>
      <c r="E3" s="2" t="inlineStr">
        <is>
          <t>P0</t>
        </is>
      </c>
      <c r="F3" s="3" t="inlineStr">
        <is>
          <t>5.4.1.1/5.4.1.2</t>
        </is>
      </c>
      <c r="G3" s="3" t="inlineStr">
        <is>
          <t>（见父案步骤）</t>
        </is>
      </c>
      <c r="H3" s="3" t="inlineStr">
        <is>
          <t>≤10 s 发出火警声、光信号</t>
        </is>
      </c>
      <c r="I3" s="4" t="inlineStr">
        <is>
          <t>（未填写原因，需补）</t>
        </is>
      </c>
      <c r="J3" s="5" t="inlineStr">
        <is>
          <t>通过</t>
        </is>
      </c>
      <c r="K3" s="2" t="n"/>
      <c r="L3" s="2" t="inlineStr">
        <is>
          <t>2026-08-18</t>
        </is>
      </c>
      <c r="M3" s="3" t="n"/>
      <c r="N3" s="2" t="n"/>
    </row>
    <row r="4">
      <c r="A4" s="2" t="n">
        <v>3</v>
      </c>
      <c r="B4" s="2" t="inlineStr">
        <is>
          <t>FA-01.2</t>
        </is>
      </c>
      <c r="C4" s="3" t="inlineStr">
        <is>
          <t>火灾报警</t>
        </is>
      </c>
      <c r="D4" s="3" t="inlineStr">
        <is>
          <t>火警总指示灯</t>
        </is>
      </c>
      <c r="E4" s="2" t="inlineStr">
        <is>
          <t>P0</t>
        </is>
      </c>
      <c r="F4" s="3" t="inlineStr">
        <is>
          <t>5.4.1.1/5.4.1.5</t>
        </is>
      </c>
      <c r="G4" s="3" t="inlineStr">
        <is>
          <t>（见父案步骤）</t>
        </is>
      </c>
      <c r="H4" s="3" t="inlineStr">
        <is>
          <t>火警总指示灯点亮</t>
        </is>
      </c>
      <c r="I4" s="4" t="inlineStr">
        <is>
          <t>（未填写原因，需补）</t>
        </is>
      </c>
      <c r="J4" s="5" t="inlineStr">
        <is>
          <t>通过</t>
        </is>
      </c>
      <c r="K4" s="2" t="n"/>
      <c r="L4" s="2" t="inlineStr">
        <is>
          <t>2026-08-18</t>
        </is>
      </c>
      <c r="M4" s="3" t="n"/>
      <c r="N4" s="2" t="n"/>
    </row>
    <row r="5">
      <c r="A5" s="2" t="n">
        <v>4</v>
      </c>
      <c r="B5" s="2" t="inlineStr">
        <is>
          <t>FA-01.3</t>
        </is>
      </c>
      <c r="C5" s="3" t="inlineStr">
        <is>
          <t>火灾报警</t>
        </is>
      </c>
      <c r="D5" s="3" t="inlineStr">
        <is>
          <t>部位与时间显示记录</t>
        </is>
      </c>
      <c r="E5" s="2" t="inlineStr">
        <is>
          <t>P0</t>
        </is>
      </c>
      <c r="F5" s="3" t="inlineStr">
        <is>
          <t>5.4.1.1</t>
        </is>
      </c>
      <c r="G5" s="3" t="inlineStr">
        <is>
          <t>（见父案步骤）</t>
        </is>
      </c>
      <c r="H5" s="3" t="inlineStr">
        <is>
          <t>显示并记录部位与时间（年月日时分秒）</t>
        </is>
      </c>
      <c r="I5" s="4" t="inlineStr">
        <is>
          <t>（未填写原因，需补）</t>
        </is>
      </c>
      <c r="J5" s="5" t="inlineStr">
        <is>
          <t>通过</t>
        </is>
      </c>
      <c r="K5" s="2" t="n"/>
      <c r="L5" s="2" t="inlineStr">
        <is>
          <t>2026-08-19</t>
        </is>
      </c>
      <c r="M5" s="3" t="inlineStr">
        <is>
          <t>部位显示正常；时间缺年份（同源 UI-14.6 时钟停00年），修复后复验</t>
        </is>
      </c>
      <c r="N5" s="2" t="n"/>
    </row>
    <row r="6">
      <c r="A6" s="2" t="n">
        <v>5</v>
      </c>
      <c r="B6" s="2" t="inlineStr">
        <is>
          <t>FA-01.4</t>
        </is>
      </c>
      <c r="C6" s="3" t="inlineStr">
        <is>
          <t>火灾报警</t>
        </is>
      </c>
      <c r="D6" s="3" t="inlineStr">
        <is>
          <t>火警保持</t>
        </is>
      </c>
      <c r="E6" s="2" t="inlineStr">
        <is>
          <t>P0</t>
        </is>
      </c>
      <c r="F6" s="3" t="inlineStr">
        <is>
          <t>5.4.1.1</t>
        </is>
      </c>
      <c r="G6" s="3" t="inlineStr">
        <is>
          <t>（见父案步骤）</t>
        </is>
      </c>
      <c r="H6" s="3" t="inlineStr">
        <is>
          <t>保持至手动复位</t>
        </is>
      </c>
      <c r="I6" s="4" t="inlineStr">
        <is>
          <t>（未填写原因，需补）</t>
        </is>
      </c>
      <c r="J6" s="5" t="inlineStr">
        <is>
          <t>通过</t>
        </is>
      </c>
      <c r="K6" s="2" t="n"/>
      <c r="L6" s="2" t="inlineStr">
        <is>
          <t>2026-08-18</t>
        </is>
      </c>
      <c r="M6" s="3" t="n"/>
      <c r="N6" s="2" t="n"/>
    </row>
    <row r="7">
      <c r="A7" s="2" t="n">
        <v>6</v>
      </c>
      <c r="B7" s="2" t="inlineStr">
        <is>
          <t>FA-02</t>
        </is>
      </c>
      <c r="C7" s="3" t="inlineStr">
        <is>
          <t>火灾报警</t>
        </is>
      </c>
      <c r="D7" s="3" t="n"/>
      <c r="E7" s="2" t="inlineStr">
        <is>
          <t>P0</t>
        </is>
      </c>
      <c r="F7" s="3" t="inlineStr">
        <is>
          <t>5.4.1.1/5.4.1.4 ↔ 6.3.4</t>
        </is>
      </c>
      <c r="G7" s="3" t="inlineStr">
        <is>
          <t>手报火警响应与类型区分（总案）——使一只手动报警按钮动作，计时。火警基线要求与 FA-01 完全相同（手报也是火灾报警触发器件，5.4.1.1 全套适用）</t>
        </is>
      </c>
      <c r="H7" s="3" t="inlineStr">
        <is>
          <t>见子项</t>
        </is>
      </c>
      <c r="I7" s="4" t="inlineStr">
        <is>
          <t>（未填写原因，需补）</t>
        </is>
      </c>
      <c r="J7" s="6" t="inlineStr">
        <is>
          <t>通过</t>
        </is>
      </c>
      <c r="K7" s="2" t="n"/>
      <c r="L7" s="2" t="inlineStr">
        <is>
          <t>2026-08-18</t>
        </is>
      </c>
      <c r="M7" s="3" t="n"/>
      <c r="N7" s="2" t="n"/>
    </row>
    <row r="8">
      <c r="A8" s="2" t="n">
        <v>7</v>
      </c>
      <c r="B8" s="2" t="inlineStr">
        <is>
          <t>FA-02.1</t>
        </is>
      </c>
      <c r="C8" s="3" t="inlineStr">
        <is>
          <t>火灾报警</t>
        </is>
      </c>
      <c r="D8" s="3" t="inlineStr">
        <is>
          <t>手报声光响应时限</t>
        </is>
      </c>
      <c r="E8" s="2" t="inlineStr">
        <is>
          <t>P0</t>
        </is>
      </c>
      <c r="F8" s="3" t="inlineStr">
        <is>
          <t>5.4.1.4</t>
        </is>
      </c>
      <c r="G8" s="3" t="inlineStr">
        <is>
          <t>（见父案步骤）</t>
        </is>
      </c>
      <c r="H8" s="3" t="inlineStr">
        <is>
          <t>≤10 s 发出火警声、光信号</t>
        </is>
      </c>
      <c r="I8" s="4" t="inlineStr">
        <is>
          <t>（未填写原因，需补）</t>
        </is>
      </c>
      <c r="J8" s="6" t="inlineStr">
        <is>
          <t>通过</t>
        </is>
      </c>
      <c r="K8" s="2" t="n"/>
      <c r="L8" s="2" t="inlineStr">
        <is>
          <t>2026-08-18</t>
        </is>
      </c>
      <c r="M8" s="3" t="n"/>
      <c r="N8" s="2" t="n"/>
    </row>
    <row r="9">
      <c r="A9" s="2" t="n">
        <v>8</v>
      </c>
      <c r="B9" s="2" t="inlineStr">
        <is>
          <t>FA-02.2</t>
        </is>
      </c>
      <c r="C9" s="3" t="inlineStr">
        <is>
          <t>火灾报警</t>
        </is>
      </c>
      <c r="D9" s="3" t="inlineStr">
        <is>
          <t>火警总指示灯</t>
        </is>
      </c>
      <c r="E9" s="2" t="inlineStr">
        <is>
          <t>P0</t>
        </is>
      </c>
      <c r="F9" s="3" t="inlineStr">
        <is>
          <t>5.4.1.1</t>
        </is>
      </c>
      <c r="G9" s="3" t="inlineStr">
        <is>
          <t>（见父案步骤）</t>
        </is>
      </c>
      <c r="H9" s="3" t="inlineStr">
        <is>
          <t>火警总指示灯点亮</t>
        </is>
      </c>
      <c r="I9" s="4" t="inlineStr">
        <is>
          <t>（未填写原因，需补）</t>
        </is>
      </c>
      <c r="J9" s="6" t="inlineStr">
        <is>
          <t>通过</t>
        </is>
      </c>
      <c r="K9" s="2" t="n"/>
      <c r="L9" s="2" t="inlineStr">
        <is>
          <t>2026-08-18</t>
        </is>
      </c>
      <c r="M9" s="3" t="n"/>
      <c r="N9" s="2" t="n"/>
    </row>
    <row r="10">
      <c r="A10" s="2" t="n">
        <v>9</v>
      </c>
      <c r="B10" s="2" t="inlineStr">
        <is>
          <t>FA-02.3</t>
        </is>
      </c>
      <c r="C10" s="3" t="inlineStr">
        <is>
          <t>火灾报警</t>
        </is>
      </c>
      <c r="D10" s="3" t="inlineStr">
        <is>
          <t>部位与时间显示记录</t>
        </is>
      </c>
      <c r="E10" s="2" t="inlineStr">
        <is>
          <t>P0</t>
        </is>
      </c>
      <c r="F10" s="3" t="inlineStr">
        <is>
          <t>5.4.1.1</t>
        </is>
      </c>
      <c r="G10" s="3" t="inlineStr">
        <is>
          <t>（见父案步骤）</t>
        </is>
      </c>
      <c r="H10" s="3" t="inlineStr">
        <is>
          <t>显示并记录部位与时间（年月日时分秒）</t>
        </is>
      </c>
      <c r="I10" s="4" t="inlineStr">
        <is>
          <t>现在只显示了月日，没显示年</t>
        </is>
      </c>
      <c r="J10" s="6" t="inlineStr">
        <is>
          <t>不通过</t>
        </is>
      </c>
      <c r="K10" s="2" t="n"/>
      <c r="L10" s="2" t="inlineStr">
        <is>
          <t>2026-08-18</t>
        </is>
      </c>
      <c r="M10" s="3" t="n"/>
      <c r="N10" s="2" t="n"/>
    </row>
    <row r="11">
      <c r="A11" s="2" t="n">
        <v>10</v>
      </c>
      <c r="B11" s="2" t="inlineStr">
        <is>
          <t>FA-02.4</t>
        </is>
      </c>
      <c r="C11" s="3" t="inlineStr">
        <is>
          <t>火灾报警</t>
        </is>
      </c>
      <c r="D11" s="3" t="inlineStr">
        <is>
          <t>火警保持</t>
        </is>
      </c>
      <c r="E11" s="2" t="inlineStr">
        <is>
          <t>P0</t>
        </is>
      </c>
      <c r="F11" s="3" t="inlineStr">
        <is>
          <t>5.4.1.1</t>
        </is>
      </c>
      <c r="G11" s="3" t="inlineStr">
        <is>
          <t>（见父案步骤）</t>
        </is>
      </c>
      <c r="H11" s="3" t="inlineStr">
        <is>
          <t>保持至手动复位</t>
        </is>
      </c>
      <c r="I11" s="4" t="inlineStr">
        <is>
          <t>（未填写原因，需补）</t>
        </is>
      </c>
      <c r="J11" s="6" t="inlineStr">
        <is>
          <t>通过</t>
        </is>
      </c>
      <c r="K11" s="2" t="n"/>
      <c r="L11" s="2" t="inlineStr">
        <is>
          <t>2026-08-18</t>
        </is>
      </c>
      <c r="M11" s="3" t="n"/>
      <c r="N11" s="2" t="n"/>
    </row>
    <row r="12">
      <c r="A12" s="2" t="n">
        <v>11</v>
      </c>
      <c r="B12" s="2" t="inlineStr">
        <is>
          <t>FA-02.6</t>
        </is>
      </c>
      <c r="C12" s="3" t="inlineStr">
        <is>
          <t>火灾报警</t>
        </is>
      </c>
      <c r="D12" s="3" t="inlineStr">
        <is>
          <t>手报类型区分</t>
        </is>
      </c>
      <c r="E12" s="2" t="inlineStr">
        <is>
          <t>P0</t>
        </is>
      </c>
      <c r="F12" s="3" t="inlineStr">
        <is>
          <t>5.4.1.4</t>
        </is>
      </c>
      <c r="G12" s="3" t="inlineStr">
        <is>
          <t>（见父案步骤）</t>
        </is>
      </c>
      <c r="H12" s="3" t="inlineStr">
        <is>
          <t>明确指示为手报报警（区别于探测器）</t>
        </is>
      </c>
      <c r="I12" s="4" t="inlineStr">
        <is>
          <t>（未填写原因，需补）</t>
        </is>
      </c>
      <c r="J12" s="6" t="inlineStr">
        <is>
          <t>通过</t>
        </is>
      </c>
      <c r="K12" s="2" t="n"/>
      <c r="L12" s="2" t="inlineStr">
        <is>
          <t>2026-08-18</t>
        </is>
      </c>
      <c r="M12" s="3" t="n"/>
      <c r="N12" s="2" t="n"/>
    </row>
    <row r="13">
      <c r="A13" s="2" t="n">
        <v>12</v>
      </c>
      <c r="B13" s="2" t="inlineStr">
        <is>
          <t>FA-03</t>
        </is>
      </c>
      <c r="C13" s="3" t="inlineStr">
        <is>
          <t>火灾报警</t>
        </is>
      </c>
      <c r="D13" s="3" t="inlineStr">
        <is>
          <t>手报无延时校验</t>
        </is>
      </c>
      <c r="E13" s="2" t="inlineStr">
        <is>
          <t>P0</t>
        </is>
      </c>
      <c r="F13" s="3" t="inlineStr">
        <is>
          <t>5.4.1.2/5.4.1.4 ↔ 6.3.11</t>
        </is>
      </c>
      <c r="G13" s="3" t="inlineStr">
        <is>
          <t>设置报警延时后触发手报</t>
        </is>
      </c>
      <c r="H13" s="3" t="inlineStr">
        <is>
          <t>手报信号不受报警延时影响，直接 ≤10 s 报警。依据推导（标准无明文"手报禁延时"，由许可式立法省略而来）：5.4.1.2 的延时许可只写给探测器信号；5.4.1.4 给手报的是无条件 10 s、无延时许可——没许可＝禁止；6.3.11 即专查"手报是否被违规配了延时"</t>
        </is>
      </c>
      <c r="I13" s="3" t="inlineStr">
        <is>
          <t>前置依赖报警延时功能，当前无法按用例步骤执行</t>
        </is>
      </c>
      <c r="J13" s="6" t="inlineStr">
        <is>
          <t>通过</t>
        </is>
      </c>
      <c r="K13" s="2" t="n"/>
      <c r="L13" s="2" t="inlineStr">
        <is>
          <t>2026-08-18</t>
        </is>
      </c>
      <c r="M13" s="3" t="n"/>
      <c r="N13" s="2" t="n"/>
    </row>
    <row r="14">
      <c r="A14" s="2" t="n">
        <v>13</v>
      </c>
      <c r="B14" s="2" t="inlineStr">
        <is>
          <t>FA-04</t>
        </is>
      </c>
      <c r="C14" s="3" t="inlineStr">
        <is>
          <t>火灾报警</t>
        </is>
      </c>
      <c r="D14" s="3" t="n"/>
      <c r="E14" s="2" t="inlineStr">
        <is>
          <t>可选</t>
        </is>
      </c>
      <c r="F14" s="3" t="inlineStr">
        <is>
          <t>5.4.1.2 ↔ 6.3.10</t>
        </is>
      </c>
      <c r="G14" s="3" t="inlineStr">
        <is>
          <t>报警延时设置与倒计时（总案）——设置探测器报警延时并修改延时值，触发探测器</t>
        </is>
      </c>
      <c r="H14" s="3" t="inlineStr">
        <is>
          <t>见子项</t>
        </is>
      </c>
      <c r="I14" s="3" t="inlineStr">
        <is>
          <t>报警延时功能未设置（未实现）</t>
        </is>
      </c>
      <c r="J14" s="7" t="inlineStr">
        <is>
          <t>不适用</t>
        </is>
      </c>
      <c r="K14" s="2" t="n"/>
      <c r="L14" s="2" t="inlineStr">
        <is>
          <t>2026-08-18</t>
        </is>
      </c>
      <c r="M14" s="3" t="n"/>
      <c r="N14" s="2" t="n"/>
    </row>
    <row r="15">
      <c r="A15" s="2" t="n">
        <v>14</v>
      </c>
      <c r="B15" s="2" t="inlineStr">
        <is>
          <t>FA-04.1</t>
        </is>
      </c>
      <c r="C15" s="3" t="inlineStr">
        <is>
          <t>火灾报警</t>
        </is>
      </c>
      <c r="D15" s="3" t="inlineStr">
        <is>
          <t>最大延时</t>
        </is>
      </c>
      <c r="E15" s="2" t="inlineStr">
        <is>
          <t>可选</t>
        </is>
      </c>
      <c r="F15" s="3" t="inlineStr">
        <is>
          <t>5.4.1.2</t>
        </is>
      </c>
      <c r="G15" s="3" t="inlineStr">
        <is>
          <t>（见父案步骤）</t>
        </is>
      </c>
      <c r="H15" s="3" t="inlineStr">
        <is>
          <t>最大延时 ≤1 min</t>
        </is>
      </c>
      <c r="I15" s="3" t="inlineStr">
        <is>
          <t>同 FA-04</t>
        </is>
      </c>
      <c r="J15" s="7" t="inlineStr">
        <is>
          <t>不适用</t>
        </is>
      </c>
      <c r="K15" s="2" t="n"/>
      <c r="L15" s="2" t="inlineStr">
        <is>
          <t>2026-08-18</t>
        </is>
      </c>
      <c r="M15" s="3" t="n"/>
      <c r="N15" s="2" t="n"/>
    </row>
    <row r="16">
      <c r="A16" s="2" t="n">
        <v>15</v>
      </c>
      <c r="B16" s="2" t="inlineStr">
        <is>
          <t>FA-04.2</t>
        </is>
      </c>
      <c r="C16" s="3" t="inlineStr">
        <is>
          <t>火灾报警</t>
        </is>
      </c>
      <c r="D16" s="3" t="inlineStr">
        <is>
          <t>延时光指示</t>
        </is>
      </c>
      <c r="E16" s="2" t="inlineStr">
        <is>
          <t>可选</t>
        </is>
      </c>
      <c r="F16" s="3" t="inlineStr">
        <is>
          <t>5.4.1.2</t>
        </is>
      </c>
      <c r="G16" s="3" t="inlineStr">
        <is>
          <t>（见父案步骤）</t>
        </is>
      </c>
      <c r="H16" s="3" t="inlineStr">
        <is>
          <t>延时期间有延时光指示</t>
        </is>
      </c>
      <c r="I16" s="3" t="inlineStr">
        <is>
          <t>同 FA-04</t>
        </is>
      </c>
      <c r="J16" s="7" t="inlineStr">
        <is>
          <t>不适用</t>
        </is>
      </c>
      <c r="K16" s="2" t="n"/>
      <c r="L16" s="2" t="inlineStr">
        <is>
          <t>2026-08-18</t>
        </is>
      </c>
      <c r="M16" s="3" t="n"/>
      <c r="N16" s="2" t="n"/>
    </row>
    <row r="17">
      <c r="A17" s="2" t="n">
        <v>16</v>
      </c>
      <c r="B17" s="2" t="inlineStr">
        <is>
          <t>FA-04.3</t>
        </is>
      </c>
      <c r="C17" s="3" t="inlineStr">
        <is>
          <t>火灾报警</t>
        </is>
      </c>
      <c r="D17" s="3" t="inlineStr">
        <is>
          <t>倒计时显示</t>
        </is>
      </c>
      <c r="E17" s="2" t="inlineStr">
        <is>
          <t>可选</t>
        </is>
      </c>
      <c r="F17" s="3" t="inlineStr">
        <is>
          <t>5.4.1.2</t>
        </is>
      </c>
      <c r="G17" s="3" t="inlineStr">
        <is>
          <t>（见父案步骤）</t>
        </is>
      </c>
      <c r="H17" s="3" t="inlineStr">
        <is>
          <t>延时以倒计时显示</t>
        </is>
      </c>
      <c r="I17" s="3" t="inlineStr">
        <is>
          <t>同 FA-04</t>
        </is>
      </c>
      <c r="J17" s="7" t="inlineStr">
        <is>
          <t>不适用</t>
        </is>
      </c>
      <c r="K17" s="2" t="n"/>
      <c r="L17" s="2" t="inlineStr">
        <is>
          <t>2026-08-18</t>
        </is>
      </c>
      <c r="M17" s="3" t="n"/>
      <c r="N17" s="2" t="n"/>
    </row>
    <row r="18">
      <c r="A18" s="2" t="n">
        <v>17</v>
      </c>
      <c r="B18" s="2" t="inlineStr">
        <is>
          <t>FA-04.4</t>
        </is>
      </c>
      <c r="C18" s="3" t="inlineStr">
        <is>
          <t>火灾报警</t>
        </is>
      </c>
      <c r="D18" s="3" t="inlineStr">
        <is>
          <t>设置信息可查</t>
        </is>
      </c>
      <c r="E18" s="2" t="inlineStr">
        <is>
          <t>可选</t>
        </is>
      </c>
      <c r="F18" s="3" t="inlineStr">
        <is>
          <t>5.4.1.2</t>
        </is>
      </c>
      <c r="G18" s="3" t="inlineStr">
        <is>
          <t>（见父案步骤）</t>
        </is>
      </c>
      <c r="H18" s="3" t="inlineStr">
        <is>
          <t>设置信息本机可查</t>
        </is>
      </c>
      <c r="I18" s="3" t="inlineStr">
        <is>
          <t>同 FA-04</t>
        </is>
      </c>
      <c r="J18" s="7" t="inlineStr">
        <is>
          <t>不适用</t>
        </is>
      </c>
      <c r="K18" s="2" t="n"/>
      <c r="L18" s="2" t="inlineStr">
        <is>
          <t>2026-08-18</t>
        </is>
      </c>
      <c r="M18" s="3" t="n"/>
      <c r="N18" s="2" t="n"/>
    </row>
    <row r="19">
      <c r="A19" s="2" t="n">
        <v>18</v>
      </c>
      <c r="B19" s="2" t="inlineStr">
        <is>
          <t>FA-05</t>
        </is>
      </c>
      <c r="C19" s="3" t="inlineStr">
        <is>
          <t>火灾报警</t>
        </is>
      </c>
      <c r="D19" s="3" t="inlineStr">
        <is>
          <t>独立供电探测器信息接收</t>
        </is>
      </c>
      <c r="E19" s="2" t="inlineStr">
        <is>
          <t>P1</t>
        </is>
      </c>
      <c r="F19" s="3" t="inlineStr">
        <is>
          <t>5.4.1.3 ↔ 6.3.3</t>
        </is>
      </c>
      <c r="G19" s="3" t="inlineStr">
        <is>
          <t>接入线型感温/吸气式感烟/图像型等非控制器直接供电的探测器（条件适用："能够连接……的试样"才测——说明书不声明支持则整条不适用）。接法须为有数据通道的方式（实现本机总线协议挂回路 / 独立 RS485 等接口）；干接点经输入模块不算本条。真实触发手段：吸气式→向采样孔/管路注试验烟；线型感温→对光缆/电缆某段加热；图像型→标准试验火</t>
        </is>
      </c>
      <c r="H19" s="3" t="inlineStr">
        <is>
          <t>能接收并显示探测器自己产生的部位与报警时间信息（如光纤感温的"第 X 米"、吸气式的"管路 X 孔 X"）。与 FA-01 不重复：FA-01 的部位/时间由控制器查点表+本机时钟生成；本条是透传显示独立智能探测器自带的信息——两条不同的数据通路</t>
        </is>
      </c>
      <c r="I19" s="3" t="n"/>
      <c r="J19" s="2" t="inlineStr">
        <is>
          <t>通过</t>
        </is>
      </c>
      <c r="K19" s="2" t="n"/>
      <c r="L19" s="2" t="inlineStr">
        <is>
          <t>2026-08-19</t>
        </is>
      </c>
      <c r="M19" s="3" t="inlineStr">
        <is>
          <t>待条件：需线型/吸气式等独立供电探测器；说明书不声明支持则改判不适用；⚠️标通过与待条件（需独立供电探测器）矛盾，请复核是否误点</t>
        </is>
      </c>
      <c r="N19" s="2" t="n"/>
    </row>
    <row r="20">
      <c r="A20" s="2" t="n">
        <v>19</v>
      </c>
      <c r="B20" s="2" t="inlineStr">
        <is>
          <t>FA-06</t>
        </is>
      </c>
      <c r="C20" s="3" t="inlineStr">
        <is>
          <t>火灾报警</t>
        </is>
      </c>
      <c r="D20" s="3" t="n"/>
      <c r="E20" s="2" t="inlineStr">
        <is>
          <t>P0</t>
        </is>
      </c>
      <c r="F20" s="3" t="inlineStr">
        <is>
          <t>5.4.1.6 ↔ 6.3.5</t>
        </is>
      </c>
      <c r="G20" s="3" t="inlineStr">
        <is>
          <t>消音与再声响（总案）——火警状态下手动消音；再使另一部位报警</t>
        </is>
      </c>
      <c r="H20" s="3" t="inlineStr">
        <is>
          <t>见子项</t>
        </is>
      </c>
      <c r="I20" s="3" t="n"/>
      <c r="J20" s="2" t="inlineStr">
        <is>
          <t>通过</t>
        </is>
      </c>
      <c r="K20" s="2" t="n"/>
      <c r="L20" s="2" t="n"/>
      <c r="M20" s="3" t="inlineStr">
        <is>
          <t>子项.1/.2 单部位可测；.3/.4 待条件（需第2报警部位）</t>
        </is>
      </c>
      <c r="N20" s="2" t="n"/>
    </row>
    <row r="21">
      <c r="A21" s="2" t="n">
        <v>20</v>
      </c>
      <c r="B21" s="2" t="inlineStr">
        <is>
          <t>FA-06.1</t>
        </is>
      </c>
      <c r="C21" s="3" t="inlineStr">
        <is>
          <t>火灾报警</t>
        </is>
      </c>
      <c r="D21" s="3" t="inlineStr">
        <is>
          <t>消音后声停止</t>
        </is>
      </c>
      <c r="E21" s="2" t="inlineStr">
        <is>
          <t>P0</t>
        </is>
      </c>
      <c r="F21" s="3" t="inlineStr">
        <is>
          <t>5.4.1.6</t>
        </is>
      </c>
      <c r="G21" s="3" t="inlineStr">
        <is>
          <t>（见父案步骤）</t>
        </is>
      </c>
      <c r="H21" s="3" t="inlineStr">
        <is>
          <t>消音后声信号停止</t>
        </is>
      </c>
      <c r="I21" s="3" t="n"/>
      <c r="J21" s="2" t="inlineStr">
        <is>
          <t>通过</t>
        </is>
      </c>
      <c r="K21" s="2" t="n"/>
      <c r="L21" s="2" t="n"/>
      <c r="M21" s="3" t="n"/>
      <c r="N21" s="2" t="n"/>
    </row>
    <row r="22">
      <c r="A22" s="2" t="n">
        <v>21</v>
      </c>
      <c r="B22" s="2" t="inlineStr">
        <is>
          <t>FA-06.2</t>
        </is>
      </c>
      <c r="C22" s="3" t="inlineStr">
        <is>
          <t>火灾报警</t>
        </is>
      </c>
      <c r="D22" s="3" t="inlineStr">
        <is>
          <t>消音灯</t>
        </is>
      </c>
      <c r="E22" s="2" t="inlineStr">
        <is>
          <t>P0</t>
        </is>
      </c>
      <c r="F22" s="3" t="inlineStr">
        <is>
          <t>5.4.1.6</t>
        </is>
      </c>
      <c r="G22" s="3" t="inlineStr">
        <is>
          <t>（见父案步骤）</t>
        </is>
      </c>
      <c r="H22" s="3" t="inlineStr">
        <is>
          <t>消音灯亮</t>
        </is>
      </c>
      <c r="I22" s="3" t="n"/>
      <c r="J22" s="2" t="inlineStr">
        <is>
          <t>通过</t>
        </is>
      </c>
      <c r="K22" s="2" t="n"/>
      <c r="L22" s="2" t="n"/>
      <c r="M22" s="3" t="n"/>
      <c r="N22" s="2" t="n"/>
    </row>
    <row r="23">
      <c r="A23" s="2" t="n">
        <v>22</v>
      </c>
      <c r="B23" s="2" t="inlineStr">
        <is>
          <t>FA-06.3</t>
        </is>
      </c>
      <c r="C23" s="3" t="inlineStr">
        <is>
          <t>火灾报警</t>
        </is>
      </c>
      <c r="D23" s="3" t="inlineStr">
        <is>
          <t>新火警再声响</t>
        </is>
      </c>
      <c r="E23" s="2" t="inlineStr">
        <is>
          <t>P0</t>
        </is>
      </c>
      <c r="F23" s="3" t="inlineStr">
        <is>
          <t>5.4.1.6</t>
        </is>
      </c>
      <c r="G23" s="3" t="inlineStr">
        <is>
          <t>（见父案步骤）</t>
        </is>
      </c>
      <c r="H23" s="3" t="inlineStr">
        <is>
          <t>新火警输入时声信号重新启动</t>
        </is>
      </c>
      <c r="I23" s="3" t="inlineStr">
        <is>
          <t>同一烟感持续报警，声信号未重新启动</t>
        </is>
      </c>
      <c r="J23" s="2" t="inlineStr">
        <is>
          <t>通过</t>
        </is>
      </c>
      <c r="K23" s="2" t="n"/>
      <c r="L23" s="2" t="inlineStr">
        <is>
          <t>2026-08-19</t>
        </is>
      </c>
      <c r="M23" s="3" t="inlineStr">
        <is>
          <t>待条件：需第2报警信号源（必做项，补第2只烟感/手报后测）</t>
        </is>
      </c>
      <c r="N23" s="2" t="n"/>
    </row>
    <row r="24">
      <c r="A24" s="2" t="n">
        <v>23</v>
      </c>
      <c r="B24" s="2" t="inlineStr">
        <is>
          <t>FA-06.4</t>
        </is>
      </c>
      <c r="C24" s="3" t="inlineStr">
        <is>
          <t>火灾报警</t>
        </is>
      </c>
      <c r="D24" s="3" t="inlineStr">
        <is>
          <t>新火警消音灯熄灭</t>
        </is>
      </c>
      <c r="E24" s="2" t="inlineStr">
        <is>
          <t>P0</t>
        </is>
      </c>
      <c r="F24" s="3" t="inlineStr">
        <is>
          <t>5.4.1.6</t>
        </is>
      </c>
      <c r="G24" s="3" t="inlineStr">
        <is>
          <t>（见父案步骤）</t>
        </is>
      </c>
      <c r="H24" s="3" t="inlineStr">
        <is>
          <t>新火警输入时消音灯熄灭</t>
        </is>
      </c>
      <c r="I24" s="3" t="inlineStr">
        <is>
          <t>新火警输入时消音灯未熄灭</t>
        </is>
      </c>
      <c r="J24" s="2" t="inlineStr">
        <is>
          <t>不通过</t>
        </is>
      </c>
      <c r="K24" s="2" t="n"/>
      <c r="L24" s="2" t="inlineStr">
        <is>
          <t>2026-08-19</t>
        </is>
      </c>
      <c r="M24" s="3" t="inlineStr">
        <is>
          <t>待条件：需第2报警信号源（必做项，补第2只烟感/手报后测）</t>
        </is>
      </c>
      <c r="N24" s="2" t="n"/>
    </row>
    <row r="25">
      <c r="A25" s="2" t="n">
        <v>24</v>
      </c>
      <c r="B25" s="2" t="inlineStr">
        <is>
          <t>FA-07</t>
        </is>
      </c>
      <c r="C25" s="3" t="inlineStr">
        <is>
          <t>火灾报警</t>
        </is>
      </c>
      <c r="D25" s="3" t="n"/>
      <c r="E25" s="2" t="inlineStr">
        <is>
          <t>P0</t>
        </is>
      </c>
      <c r="F25" s="3" t="inlineStr">
        <is>
          <t>5.4.1.7 ↔ 6.3.6/6.3.7</t>
        </is>
      </c>
      <c r="G25" s="3" t="inlineStr">
        <is>
          <t>首火警保持与多火警循环显示（总案）——逐个增加报警部位直至显示区域不能同时显示。报警源数量说明：6.3.1 的 2+2 基线不够用——6.3.7 原文明写"应增加报警部位数"，所需数量＝本机屏幕同屏火警容量 +1 起步。实操用回路模拟工装按地址批量制造报警，不必堆真探测器</t>
        </is>
      </c>
      <c r="H25" s="3" t="inlineStr">
        <is>
          <t>见子项</t>
        </is>
      </c>
      <c r="I25" s="4" t="inlineStr">
        <is>
          <t>（未填写原因，需补）</t>
        </is>
      </c>
      <c r="J25" s="6" t="inlineStr">
        <is>
          <t>通过</t>
        </is>
      </c>
      <c r="K25" s="2" t="n"/>
      <c r="L25" s="2" t="inlineStr">
        <is>
          <t>2026-08-18</t>
        </is>
      </c>
      <c r="M25" s="3" t="n"/>
      <c r="N25" s="2" t="n"/>
    </row>
    <row r="26">
      <c r="A26" s="2" t="n">
        <v>25</v>
      </c>
      <c r="B26" s="2" t="inlineStr">
        <is>
          <t>FA-07.1</t>
        </is>
      </c>
      <c r="C26" s="3" t="inlineStr">
        <is>
          <t>火灾报警</t>
        </is>
      </c>
      <c r="D26" s="3" t="inlineStr">
        <is>
          <t>火警总数显示</t>
        </is>
      </c>
      <c r="E26" s="2" t="inlineStr">
        <is>
          <t>P0</t>
        </is>
      </c>
      <c r="F26" s="3" t="inlineStr">
        <is>
          <t>5.4.1.7</t>
        </is>
      </c>
      <c r="G26" s="3" t="inlineStr">
        <is>
          <t>（见父案步骤）</t>
        </is>
      </c>
      <c r="H26" s="3" t="inlineStr">
        <is>
          <t>显示火警总数</t>
        </is>
      </c>
      <c r="I26" s="4" t="inlineStr">
        <is>
          <t>（未填写原因，需补）</t>
        </is>
      </c>
      <c r="J26" s="6" t="inlineStr">
        <is>
          <t>通过</t>
        </is>
      </c>
      <c r="K26" s="2" t="n"/>
      <c r="L26" s="2" t="inlineStr">
        <is>
          <t>2026-08-18</t>
        </is>
      </c>
      <c r="M26" s="3" t="n"/>
      <c r="N26" s="2" t="n"/>
    </row>
    <row r="27">
      <c r="A27" s="2" t="n">
        <v>26</v>
      </c>
      <c r="B27" s="2" t="inlineStr">
        <is>
          <t>FA-07.2</t>
        </is>
      </c>
      <c r="C27" s="3" t="inlineStr">
        <is>
          <t>火灾报警</t>
        </is>
      </c>
      <c r="D27" s="3" t="inlineStr">
        <is>
          <t>首火警持续显示</t>
        </is>
      </c>
      <c r="E27" s="2" t="inlineStr">
        <is>
          <t>P0</t>
        </is>
      </c>
      <c r="F27" s="3" t="inlineStr">
        <is>
          <t>5.4.1.7</t>
        </is>
      </c>
      <c r="G27" s="3" t="inlineStr">
        <is>
          <t>（见父案步骤）</t>
        </is>
      </c>
      <c r="H27" s="3" t="inlineStr">
        <is>
          <t>首火警持续显示（专用区或共用显示器顶部）</t>
        </is>
      </c>
      <c r="I27" s="4" t="inlineStr">
        <is>
          <t>（未填写原因，需补）</t>
        </is>
      </c>
      <c r="J27" s="6" t="inlineStr">
        <is>
          <t>通过</t>
        </is>
      </c>
      <c r="K27" s="2" t="n"/>
      <c r="L27" s="2" t="inlineStr">
        <is>
          <t>2026-08-18</t>
        </is>
      </c>
      <c r="M27" s="3" t="n"/>
      <c r="N27" s="2" t="n"/>
    </row>
    <row r="28">
      <c r="A28" s="2" t="n">
        <v>27</v>
      </c>
      <c r="B28" s="2" t="inlineStr">
        <is>
          <t>FA-07.3</t>
        </is>
      </c>
      <c r="C28" s="3" t="inlineStr">
        <is>
          <t>火灾报警</t>
        </is>
      </c>
      <c r="D28" s="3" t="inlineStr">
        <is>
          <t>首火警不参与循环</t>
        </is>
      </c>
      <c r="E28" s="2" t="inlineStr">
        <is>
          <t>P0</t>
        </is>
      </c>
      <c r="F28" s="3" t="inlineStr">
        <is>
          <t>5.4.1.7</t>
        </is>
      </c>
      <c r="G28" s="3" t="inlineStr">
        <is>
          <t>（见父案步骤）</t>
        </is>
      </c>
      <c r="H28" s="3" t="inlineStr">
        <is>
          <t>首火警不参与循环（溢出判定针对后续报警循环区，首火警行不计入）</t>
        </is>
      </c>
      <c r="I28" s="4" t="inlineStr">
        <is>
          <t>（未填写原因，需补）</t>
        </is>
      </c>
      <c r="J28" s="6" t="inlineStr">
        <is>
          <t>通过</t>
        </is>
      </c>
      <c r="K28" s="2" t="n"/>
      <c r="L28" s="2" t="inlineStr">
        <is>
          <t>2026-08-18</t>
        </is>
      </c>
      <c r="M28" s="3" t="n"/>
      <c r="N28" s="2" t="n"/>
    </row>
    <row r="29">
      <c r="A29" s="2" t="n">
        <v>28</v>
      </c>
      <c r="B29" s="2" t="inlineStr">
        <is>
          <t>FA-07.4</t>
        </is>
      </c>
      <c r="C29" s="3" t="inlineStr">
        <is>
          <t>火灾报警</t>
        </is>
      </c>
      <c r="D29" s="3" t="inlineStr">
        <is>
          <t>后续循环显示</t>
        </is>
      </c>
      <c r="E29" s="2" t="inlineStr">
        <is>
          <t>P0</t>
        </is>
      </c>
      <c r="F29" s="3" t="inlineStr">
        <is>
          <t>5.4.1.7</t>
        </is>
      </c>
      <c r="G29" s="3" t="inlineStr">
        <is>
          <t>（见父案步骤）</t>
        </is>
      </c>
      <c r="H29" s="3" t="inlineStr">
        <is>
          <t>后续按时间顺序循环显示</t>
        </is>
      </c>
      <c r="I29" s="4" t="inlineStr">
        <is>
          <t>（未填写原因，需补）</t>
        </is>
      </c>
      <c r="J29" s="6" t="inlineStr">
        <is>
          <t>通过</t>
        </is>
      </c>
      <c r="K29" s="2" t="n"/>
      <c r="L29" s="2" t="inlineStr">
        <is>
          <t>2026-08-18</t>
        </is>
      </c>
      <c r="M29" s="3" t="n"/>
      <c r="N29" s="2" t="n"/>
    </row>
    <row r="30">
      <c r="A30" s="2" t="n">
        <v>29</v>
      </c>
      <c r="B30" s="2" t="inlineStr">
        <is>
          <t>FA-07.5</t>
        </is>
      </c>
      <c r="C30" s="3" t="inlineStr">
        <is>
          <t>火灾报警</t>
        </is>
      </c>
      <c r="D30" s="3" t="inlineStr">
        <is>
          <t>手动查询粒度</t>
        </is>
      </c>
      <c r="E30" s="2" t="inlineStr">
        <is>
          <t>P0</t>
        </is>
      </c>
      <c r="F30" s="3" t="inlineStr">
        <is>
          <t>5.4.1.7</t>
        </is>
      </c>
      <c r="G30" s="3" t="inlineStr">
        <is>
          <t>（见父案步骤）</t>
        </is>
      </c>
      <c r="H30" s="3" t="inlineStr">
        <is>
          <t>手动查询一次只出一条</t>
        </is>
      </c>
      <c r="I30" s="4" t="inlineStr">
        <is>
          <t>（未填写原因，需补）</t>
        </is>
      </c>
      <c r="J30" s="6" t="inlineStr">
        <is>
          <t>通过</t>
        </is>
      </c>
      <c r="K30" s="2" t="n"/>
      <c r="L30" s="2" t="inlineStr">
        <is>
          <t>2026-08-18</t>
        </is>
      </c>
      <c r="M30" s="3" t="n"/>
      <c r="N30" s="2" t="n"/>
    </row>
    <row r="31">
      <c r="A31" s="2" t="n">
        <v>30</v>
      </c>
      <c r="B31" s="2" t="inlineStr">
        <is>
          <t>FA-07.6</t>
        </is>
      </c>
      <c r="C31" s="3" t="inlineStr">
        <is>
          <t>火灾报警</t>
        </is>
      </c>
      <c r="D31" s="3" t="inlineStr">
        <is>
          <t>事件记录完整</t>
        </is>
      </c>
      <c r="E31" s="2" t="inlineStr">
        <is>
          <t>P0</t>
        </is>
      </c>
      <c r="F31" s="3" t="inlineStr">
        <is>
          <t>↔ 6.3.7</t>
        </is>
      </c>
      <c r="G31" s="3" t="inlineStr">
        <is>
          <t>（见父案步骤）</t>
        </is>
      </c>
      <c r="H31" s="3" t="inlineStr">
        <is>
          <t>每个火警的事件记录完整（6.3.7 要求核对记录情况）</t>
        </is>
      </c>
      <c r="I31" s="4" t="inlineStr">
        <is>
          <t>（未填写原因，需补）</t>
        </is>
      </c>
      <c r="J31" s="6" t="inlineStr">
        <is>
          <t>通过</t>
        </is>
      </c>
      <c r="K31" s="2" t="n"/>
      <c r="L31" s="2" t="inlineStr">
        <is>
          <t>2026-08-18</t>
        </is>
      </c>
      <c r="M31" s="3" t="n"/>
      <c r="N31" s="2" t="n"/>
    </row>
    <row r="32">
      <c r="A32" s="2" t="n">
        <v>31</v>
      </c>
      <c r="B32" s="2" t="inlineStr">
        <is>
          <t>FA-08</t>
        </is>
      </c>
      <c r="C32" s="3" t="inlineStr">
        <is>
          <t>火灾报警</t>
        </is>
      </c>
      <c r="D32" s="3" t="n"/>
      <c r="E32" s="2" t="inlineStr">
        <is>
          <t>可选</t>
        </is>
      </c>
      <c r="F32" s="3" t="inlineStr">
        <is>
          <t>5.4.1.8 ↔ 6.3.13</t>
        </is>
      </c>
      <c r="G32" s="3" t="inlineStr">
        <is>
          <t>同一探测器(区)二次确认（总案）——① 发第一个信号（保持 ≥10 s），60 s 内发后续信号——后续信号按产品配置的确认方式给：同一只探测器再报（复位确认法），或同一探测区内另一只探测器报（同区交叉），两种均合法；② 复位后只发第一个信号保持观察 30 min</t>
        </is>
      </c>
      <c r="H32" s="3" t="inlineStr">
        <is>
          <t>见子项</t>
        </is>
      </c>
      <c r="I32" s="4" t="inlineStr">
        <is>
          <t>（未填写原因，需补）</t>
        </is>
      </c>
      <c r="J32" s="6" t="inlineStr">
        <is>
          <t>不适用</t>
        </is>
      </c>
      <c r="K32" s="2" t="n"/>
      <c r="L32" s="2" t="inlineStr">
        <is>
          <t>2026-08-19</t>
        </is>
      </c>
      <c r="M32" s="3" t="inlineStr">
        <is>
          <t>产品决策2026-08-19：不做二次确认/多信号确认，首信号直接报警——可选条款（准许设有）未实现＝合规，判不适用；若未来实现该功能需恢复测试</t>
        </is>
      </c>
      <c r="N32" s="2" t="n"/>
    </row>
    <row r="33">
      <c r="A33" s="2" t="n">
        <v>32</v>
      </c>
      <c r="B33" s="2" t="inlineStr">
        <is>
          <t>FA-08.1</t>
        </is>
      </c>
      <c r="C33" s="3" t="inlineStr">
        <is>
          <t>火灾报警</t>
        </is>
      </c>
      <c r="D33" s="3" t="inlineStr">
        <is>
          <t>第一信号仅提示</t>
        </is>
      </c>
      <c r="E33" s="2" t="inlineStr">
        <is>
          <t>可选</t>
        </is>
      </c>
      <c r="F33" s="3" t="inlineStr">
        <is>
          <t>5.4.1.8 a)</t>
        </is>
      </c>
      <c r="G33" s="3" t="inlineStr">
        <is>
          <t>（见父案步骤）</t>
        </is>
      </c>
      <c r="H33" s="3" t="inlineStr">
        <is>
          <t>第一信号→仅提示声（火警声或故障声）+ 部位指示，不进入火警状态</t>
        </is>
      </c>
      <c r="I33" s="4" t="inlineStr">
        <is>
          <t>（未填写原因，需补）</t>
        </is>
      </c>
      <c r="J33" s="6" t="inlineStr">
        <is>
          <t>不适用</t>
        </is>
      </c>
      <c r="K33" s="2" t="n"/>
      <c r="L33" s="2" t="inlineStr">
        <is>
          <t>2026-08-19</t>
        </is>
      </c>
      <c r="M33" s="3" t="inlineStr">
        <is>
          <t>同父案：产品决策不做二次/多信号确认，判不适用</t>
        </is>
      </c>
      <c r="N33" s="2" t="n"/>
    </row>
    <row r="34">
      <c r="A34" s="2" t="n">
        <v>33</v>
      </c>
      <c r="B34" s="2" t="inlineStr">
        <is>
          <t>FA-08.2</t>
        </is>
      </c>
      <c r="C34" s="3" t="inlineStr">
        <is>
          <t>火灾报警</t>
        </is>
      </c>
      <c r="D34" s="3" t="inlineStr">
        <is>
          <t>第一信号·总灯不亮</t>
        </is>
      </c>
      <c r="E34" s="2" t="inlineStr">
        <is>
          <t>可选</t>
        </is>
      </c>
      <c r="F34" s="3" t="inlineStr">
        <is>
          <t>5.4.1.8 a)/§0.2</t>
        </is>
      </c>
      <c r="G34" s="3" t="inlineStr">
        <is>
          <t>（见父案步骤）</t>
        </is>
      </c>
      <c r="H34" s="3" t="inlineStr">
        <is>
          <t>第一信号时火警总灯不亮</t>
        </is>
      </c>
      <c r="I34" s="4" t="inlineStr">
        <is>
          <t>（未填写原因，需补）</t>
        </is>
      </c>
      <c r="J34" s="6" t="inlineStr">
        <is>
          <t>不适用</t>
        </is>
      </c>
      <c r="K34" s="2" t="n"/>
      <c r="L34" s="2" t="inlineStr">
        <is>
          <t>2026-08-19</t>
        </is>
      </c>
      <c r="M34" s="3" t="inlineStr">
        <is>
          <t>同父案：产品决策不做二次/多信号确认，判不适用</t>
        </is>
      </c>
      <c r="N34" s="2" t="n"/>
    </row>
    <row r="35">
      <c r="A35" s="2" t="n">
        <v>34</v>
      </c>
      <c r="B35" s="2" t="inlineStr">
        <is>
          <t>FA-08.3</t>
        </is>
      </c>
      <c r="C35" s="3" t="inlineStr">
        <is>
          <t>火灾报警</t>
        </is>
      </c>
      <c r="D35" s="3" t="inlineStr">
        <is>
          <t>第一信号·无输出</t>
        </is>
      </c>
      <c r="E35" s="2" t="inlineStr">
        <is>
          <t>可选</t>
        </is>
      </c>
      <c r="F35" s="3" t="inlineStr">
        <is>
          <t>5.4.1.8 a)/§0.2</t>
        </is>
      </c>
      <c r="G35" s="3" t="inlineStr">
        <is>
          <t>（见父案步骤）</t>
        </is>
      </c>
      <c r="H35" s="3" t="inlineStr">
        <is>
          <t>第一信号时无任何输出（输出层不解锁）</t>
        </is>
      </c>
      <c r="I35" s="4" t="inlineStr">
        <is>
          <t>（未填写原因，需补）</t>
        </is>
      </c>
      <c r="J35" s="6" t="inlineStr">
        <is>
          <t>不适用</t>
        </is>
      </c>
      <c r="K35" s="2" t="n"/>
      <c r="L35" s="2" t="inlineStr">
        <is>
          <t>2026-08-19</t>
        </is>
      </c>
      <c r="M35" s="3" t="inlineStr">
        <is>
          <t>同父案：产品决策不做二次/多信号确认，判不适用</t>
        </is>
      </c>
      <c r="N35" s="2" t="n"/>
    </row>
    <row r="36">
      <c r="A36" s="2" t="n">
        <v>35</v>
      </c>
      <c r="B36" s="2" t="inlineStr">
        <is>
          <t>FA-08.4</t>
        </is>
      </c>
      <c r="C36" s="3" t="inlineStr">
        <is>
          <t>火灾报警</t>
        </is>
      </c>
      <c r="D36" s="3" t="inlineStr">
        <is>
          <t>第一信号·不上报</t>
        </is>
      </c>
      <c r="E36" s="2" t="inlineStr">
        <is>
          <t>可选</t>
        </is>
      </c>
      <c r="F36" s="3" t="inlineStr">
        <is>
          <t>5.4.1.8 a)/§0.2</t>
        </is>
      </c>
      <c r="G36" s="3" t="inlineStr">
        <is>
          <t>（见父案步骤）</t>
        </is>
      </c>
      <c r="H36" s="3" t="inlineStr">
        <is>
          <t>第一信号时不上报 CRT</t>
        </is>
      </c>
      <c r="I36" s="4" t="inlineStr">
        <is>
          <t>（未填写原因，需补）</t>
        </is>
      </c>
      <c r="J36" s="6" t="inlineStr">
        <is>
          <t>不适用</t>
        </is>
      </c>
      <c r="K36" s="2" t="n"/>
      <c r="L36" s="2" t="inlineStr">
        <is>
          <t>2026-08-19</t>
        </is>
      </c>
      <c r="M36" s="3" t="inlineStr">
        <is>
          <t>同父案：产品决策不做二次/多信号确认，判不适用</t>
        </is>
      </c>
      <c r="N36" s="2" t="n"/>
    </row>
    <row r="37">
      <c r="A37" s="2" t="n">
        <v>36</v>
      </c>
      <c r="B37" s="2" t="inlineStr">
        <is>
          <t>FA-08.5</t>
        </is>
      </c>
      <c r="C37" s="3" t="inlineStr">
        <is>
          <t>火灾报警</t>
        </is>
      </c>
      <c r="D37" s="3" t="inlineStr">
        <is>
          <t>第一信号·不占首火警</t>
        </is>
      </c>
      <c r="E37" s="2" t="inlineStr">
        <is>
          <t>可选</t>
        </is>
      </c>
      <c r="F37" s="3" t="inlineStr">
        <is>
          <t>5.4.1.8 a)/§0.2</t>
        </is>
      </c>
      <c r="G37" s="3" t="inlineStr">
        <is>
          <t>（见父案步骤）</t>
        </is>
      </c>
      <c r="H37" s="3" t="inlineStr">
        <is>
          <t>第一信号时不占首火警</t>
        </is>
      </c>
      <c r="I37" s="4" t="inlineStr">
        <is>
          <t>（未填写原因，需补）</t>
        </is>
      </c>
      <c r="J37" s="6" t="inlineStr">
        <is>
          <t>不适用</t>
        </is>
      </c>
      <c r="K37" s="2" t="n"/>
      <c r="L37" s="2" t="inlineStr">
        <is>
          <t>2026-08-19</t>
        </is>
      </c>
      <c r="M37" s="3" t="inlineStr">
        <is>
          <t>同父案：产品决策不做二次/多信号确认，判不适用</t>
        </is>
      </c>
      <c r="N37" s="2" t="n"/>
    </row>
    <row r="38">
      <c r="A38" s="2" t="n">
        <v>37</v>
      </c>
      <c r="B38" s="2" t="inlineStr">
        <is>
          <t>FA-08.6</t>
        </is>
      </c>
      <c r="C38" s="3" t="inlineStr">
        <is>
          <t>火灾报警</t>
        </is>
      </c>
      <c r="D38" s="3" t="inlineStr">
        <is>
          <t>后续信号整包解锁</t>
        </is>
      </c>
      <c r="E38" s="2" t="inlineStr">
        <is>
          <t>可选</t>
        </is>
      </c>
      <c r="F38" s="3" t="inlineStr">
        <is>
          <t>5.4.1.8 b)</t>
        </is>
      </c>
      <c r="G38" s="3" t="inlineStr">
        <is>
          <t>（见父案步骤）</t>
        </is>
      </c>
      <c r="H38" s="3" t="inlineStr">
        <is>
          <t>60 s 内收到后续信号→火警行为包整体解锁（总灯/声/记录/输出层/上报同时成立）</t>
        </is>
      </c>
      <c r="I38" s="4" t="inlineStr">
        <is>
          <t>（未填写原因，需补）</t>
        </is>
      </c>
      <c r="J38" s="6" t="inlineStr">
        <is>
          <t>不适用</t>
        </is>
      </c>
      <c r="K38" s="2" t="n"/>
      <c r="L38" s="2" t="inlineStr">
        <is>
          <t>2026-08-19</t>
        </is>
      </c>
      <c r="M38" s="3" t="inlineStr">
        <is>
          <t>同父案：产品决策不做二次/多信号确认，判不适用</t>
        </is>
      </c>
      <c r="N38" s="2" t="n"/>
    </row>
    <row r="39">
      <c r="A39" s="2" t="n">
        <v>38</v>
      </c>
      <c r="B39" s="2" t="inlineStr">
        <is>
          <t>FA-08.7</t>
        </is>
      </c>
      <c r="C39" s="3" t="inlineStr">
        <is>
          <t>火灾报警</t>
        </is>
      </c>
      <c r="D39" s="3" t="inlineStr">
        <is>
          <t>超时自动复位</t>
        </is>
      </c>
      <c r="E39" s="2" t="inlineStr">
        <is>
          <t>可选</t>
        </is>
      </c>
      <c r="F39" s="3" t="inlineStr">
        <is>
          <t>5.4.1.8 c)</t>
        </is>
      </c>
      <c r="G39" s="3" t="inlineStr">
        <is>
          <t>（见父案步骤）</t>
        </is>
      </c>
      <c r="H39" s="3" t="inlineStr">
        <is>
          <t>30 min 内无后续信号→对第一信号自动复位（无人工干预、面板恢复监视态）</t>
        </is>
      </c>
      <c r="I39" s="4" t="inlineStr">
        <is>
          <t>（未填写原因，需补）</t>
        </is>
      </c>
      <c r="J39" s="6" t="inlineStr">
        <is>
          <t>不适用</t>
        </is>
      </c>
      <c r="K39" s="2" t="n"/>
      <c r="L39" s="2" t="inlineStr">
        <is>
          <t>2026-08-19</t>
        </is>
      </c>
      <c r="M39" s="3" t="inlineStr">
        <is>
          <t>同父案：产品决策不做二次/多信号确认，判不适用</t>
        </is>
      </c>
      <c r="N39" s="2" t="n"/>
    </row>
    <row r="40">
      <c r="A40" s="2" t="n">
        <v>39</v>
      </c>
      <c r="B40" s="2" t="inlineStr">
        <is>
          <t>FA-09</t>
        </is>
      </c>
      <c r="C40" s="3" t="inlineStr">
        <is>
          <t>火灾报警</t>
        </is>
      </c>
      <c r="D40" s="3" t="n"/>
      <c r="E40" s="2" t="inlineStr">
        <is>
          <t>可选</t>
        </is>
      </c>
      <c r="F40" s="3" t="inlineStr">
        <is>
          <t>5.4.1.9 ↔ 6.3.14</t>
        </is>
      </c>
      <c r="G40" s="3" t="inlineStr">
        <is>
          <t>不同部位两只探测器确认（总案）——① 正面：第一只报警后，按生产者规定的后续报警时间使第二只（不同部位）也报警；② 反面：复位后仅使一只报警，保持规定间隔（≥5 min）观察</t>
        </is>
      </c>
      <c r="H40" s="3" t="inlineStr">
        <is>
          <t>见子项</t>
        </is>
      </c>
      <c r="I40" s="3" t="n"/>
      <c r="J40" s="2" t="inlineStr">
        <is>
          <t>不适用</t>
        </is>
      </c>
      <c r="K40" s="2" t="n"/>
      <c r="L40" s="2" t="inlineStr">
        <is>
          <t>2026-08-19</t>
        </is>
      </c>
      <c r="M40" s="3" t="inlineStr">
        <is>
          <t>产品决策2026-08-19：不做二次确认/多信号确认，首信号直接报警——可选条款（准许设有）未实现＝合规，判不适用；若未来实现该功能需恢复测试</t>
        </is>
      </c>
      <c r="N40" s="2" t="n"/>
    </row>
    <row r="41">
      <c r="A41" s="2" t="n">
        <v>40</v>
      </c>
      <c r="B41" s="2" t="inlineStr">
        <is>
          <t>FA-09.1</t>
        </is>
      </c>
      <c r="C41" s="3" t="inlineStr">
        <is>
          <t>火灾报警</t>
        </is>
      </c>
      <c r="D41" s="3" t="inlineStr">
        <is>
          <t>第一只仅提示</t>
        </is>
      </c>
      <c r="E41" s="2" t="inlineStr">
        <is>
          <t>可选</t>
        </is>
      </c>
      <c r="F41" s="3" t="inlineStr">
        <is>
          <t>5.4.1.9</t>
        </is>
      </c>
      <c r="G41" s="3" t="inlineStr">
        <is>
          <t>（见父案步骤）</t>
        </is>
      </c>
      <c r="H41" s="3" t="inlineStr">
        <is>
          <t>第一只报警→仅提示声+部位指示，不进入火警状态（按 §0.2 火警状态口径逐项核查）</t>
        </is>
      </c>
      <c r="I41" s="3" t="n"/>
      <c r="J41" s="2" t="inlineStr">
        <is>
          <t>不适用</t>
        </is>
      </c>
      <c r="K41" s="2" t="n"/>
      <c r="L41" s="2" t="inlineStr">
        <is>
          <t>2026-08-19</t>
        </is>
      </c>
      <c r="M41" s="3" t="inlineStr">
        <is>
          <t>同父案：产品决策不做二次/多信号确认，判不适用</t>
        </is>
      </c>
      <c r="N41" s="2" t="n"/>
    </row>
    <row r="42">
      <c r="A42" s="2" t="n">
        <v>41</v>
      </c>
      <c r="B42" s="2" t="inlineStr">
        <is>
          <t>FA-09.2</t>
        </is>
      </c>
      <c r="C42" s="3" t="inlineStr">
        <is>
          <t>火灾报警</t>
        </is>
      </c>
      <c r="D42" s="3" t="inlineStr">
        <is>
          <t>第二只整包解锁</t>
        </is>
      </c>
      <c r="E42" s="2" t="inlineStr">
        <is>
          <t>可选</t>
        </is>
      </c>
      <c r="F42" s="3" t="inlineStr">
        <is>
          <t>5.4.1.9</t>
        </is>
      </c>
      <c r="G42" s="3" t="inlineStr">
        <is>
          <t>（见父案步骤）</t>
        </is>
      </c>
      <c r="H42" s="3" t="inlineStr">
        <is>
          <t>第二只报警→火警行为包整体解锁</t>
        </is>
      </c>
      <c r="I42" s="3" t="n"/>
      <c r="J42" s="2" t="inlineStr">
        <is>
          <t>不适用</t>
        </is>
      </c>
      <c r="K42" s="2" t="n"/>
      <c r="L42" s="2" t="inlineStr">
        <is>
          <t>2026-08-19</t>
        </is>
      </c>
      <c r="M42" s="3" t="inlineStr">
        <is>
          <t>同父案：产品决策不做二次/多信号确认，判不适用</t>
        </is>
      </c>
      <c r="N42" s="2" t="n"/>
    </row>
    <row r="43">
      <c r="A43" s="2" t="n">
        <v>42</v>
      </c>
      <c r="B43" s="2" t="inlineStr">
        <is>
          <t>FA-09.3</t>
        </is>
      </c>
      <c r="C43" s="3" t="inlineStr">
        <is>
          <t>火灾报警</t>
        </is>
      </c>
      <c r="D43" s="3" t="inlineStr">
        <is>
          <t>超时自动复位</t>
        </is>
      </c>
      <c r="E43" s="2" t="inlineStr">
        <is>
          <t>可选</t>
        </is>
      </c>
      <c r="F43" s="3" t="inlineStr">
        <is>
          <t>5.4.1.9</t>
        </is>
      </c>
      <c r="G43" s="3" t="inlineStr">
        <is>
          <t>（见父案步骤）</t>
        </is>
      </c>
      <c r="H43" s="3" t="inlineStr">
        <is>
          <t>间隔（≥5 min）内无后续信号准许对第一信号自动复位</t>
        </is>
      </c>
      <c r="I43" s="3" t="n"/>
      <c r="J43" s="2" t="inlineStr">
        <is>
          <t>不适用</t>
        </is>
      </c>
      <c r="K43" s="2" t="n"/>
      <c r="L43" s="2" t="inlineStr">
        <is>
          <t>2026-08-19</t>
        </is>
      </c>
      <c r="M43" s="3" t="inlineStr">
        <is>
          <t>同父案：产品决策不做二次/多信号确认，判不适用</t>
        </is>
      </c>
      <c r="N43" s="2" t="n"/>
    </row>
    <row r="44">
      <c r="A44" s="2" t="n">
        <v>43</v>
      </c>
      <c r="B44" s="2" t="inlineStr">
        <is>
          <t>FA-10</t>
        </is>
      </c>
      <c r="C44" s="3" t="inlineStr">
        <is>
          <t>火灾报警</t>
        </is>
      </c>
      <c r="D44" s="3" t="n"/>
      <c r="E44" s="2" t="inlineStr">
        <is>
          <t>P0</t>
        </is>
      </c>
      <c r="F44" s="3" t="inlineStr">
        <is>
          <t>5.4.1.10 ↔ 6.3.8/6.3.9</t>
        </is>
      </c>
      <c r="G44" s="3" t="inlineStr">
        <is>
          <t>手动复位（总案）——① 撤除全部报警源后复位；② 保留一路报警源复位，两段分别计时（6.3.8 两段接续计时测法，最坏合计～40 s）</t>
        </is>
      </c>
      <c r="H44" s="3" t="inlineStr">
        <is>
          <t>见子项</t>
        </is>
      </c>
      <c r="I44" s="3" t="n"/>
      <c r="J44" s="2" t="inlineStr">
        <is>
          <t>通过</t>
        </is>
      </c>
      <c r="K44" s="2" t="n"/>
      <c r="L44" s="2" t="n"/>
      <c r="M44" s="3" t="n"/>
      <c r="N44" s="2" t="n"/>
    </row>
    <row r="45">
      <c r="A45" s="2" t="n">
        <v>44</v>
      </c>
      <c r="B45" s="2" t="inlineStr">
        <is>
          <t>FA-10.1</t>
        </is>
      </c>
      <c r="C45" s="3" t="inlineStr">
        <is>
          <t>火灾报警</t>
        </is>
      </c>
      <c r="D45" s="3" t="inlineStr">
        <is>
          <t>复位完成时限</t>
        </is>
      </c>
      <c r="E45" s="2" t="inlineStr">
        <is>
          <t>P0</t>
        </is>
      </c>
      <c r="F45" s="3" t="inlineStr">
        <is>
          <t>5.4.1.10</t>
        </is>
      </c>
      <c r="G45" s="3" t="inlineStr">
        <is>
          <t>（见父案步骤）</t>
        </is>
      </c>
      <c r="H45" s="3" t="inlineStr">
        <is>
          <t>第一段：按复位键→≤20 s 完成复位并显示复位完成状态</t>
        </is>
      </c>
      <c r="I45" s="3" t="n"/>
      <c r="J45" s="2" t="inlineStr">
        <is>
          <t>通过</t>
        </is>
      </c>
      <c r="K45" s="2" t="n"/>
      <c r="L45" s="2" t="n"/>
      <c r="M45" s="3" t="n"/>
      <c r="N45" s="2" t="n"/>
    </row>
    <row r="46">
      <c r="A46" s="2" t="n">
        <v>45</v>
      </c>
      <c r="B46" s="2" t="inlineStr">
        <is>
          <t>FA-10.2</t>
        </is>
      </c>
      <c r="C46" s="3" t="inlineStr">
        <is>
          <t>火灾报警</t>
        </is>
      </c>
      <c r="D46" s="3" t="inlineStr">
        <is>
          <t>仍存报警重建</t>
        </is>
      </c>
      <c r="E46" s="2" t="inlineStr">
        <is>
          <t>P0</t>
        </is>
      </c>
      <c r="F46" s="3" t="inlineStr">
        <is>
          <t>5.4.1.10</t>
        </is>
      </c>
      <c r="G46" s="3" t="inlineStr">
        <is>
          <t>（见父案步骤）</t>
        </is>
      </c>
      <c r="H46" s="3" t="inlineStr">
        <is>
          <t>第二段：从复位完成起，仍存报警 ≤20 s 重新建立；另一条合规路径：仍存报警全程保持不消失（复位不清仍在报的源），则第二段免计时</t>
        </is>
      </c>
      <c r="I46" s="3" t="n"/>
      <c r="J46" s="2" t="inlineStr">
        <is>
          <t>通过</t>
        </is>
      </c>
      <c r="K46" s="2" t="n"/>
      <c r="L46" s="2" t="n"/>
      <c r="M46" s="3" t="n"/>
      <c r="N46" s="2" t="n"/>
    </row>
    <row r="47">
      <c r="A47" s="2" t="n">
        <v>46</v>
      </c>
      <c r="B47" s="2" t="inlineStr">
        <is>
          <t>FA-11</t>
        </is>
      </c>
      <c r="C47" s="3" t="inlineStr">
        <is>
          <t>火灾报警</t>
        </is>
      </c>
      <c r="D47" s="3" t="n"/>
      <c r="E47" s="2" t="inlineStr">
        <is>
          <t>P0</t>
        </is>
      </c>
      <c r="F47" s="3" t="inlineStr">
        <is>
          <t>5.4.1.11 ↔ 6.3.2</t>
        </is>
      </c>
      <c r="G47" s="3" t="inlineStr">
        <is>
          <t>计时精度与记录通道（总案）——连续运行 24 h 比对时钟（24 h 的出处：GB 4717 6.3.2 未写时长，它是"日计时误差"的操作化，流程借用 GB 16806 明文条款·5.3.1.2.13/5.2.1.2.10）；触发火警后核对各记录通道。摸底捷径：6 s/日 ≈ 69 ppm，频率计直测 RTC 晶振频偏，69 ppm 内预判通过——摸底用频率法筛，认证按 24 h 直读；频率法只覆盖当前温度点，-10 ℃ 低温试验时 RTC 温漂另算（温补 RTC 的理由）</t>
        </is>
      </c>
      <c r="H47" s="3" t="inlineStr">
        <is>
          <t>见子项</t>
        </is>
      </c>
      <c r="I47" s="3" t="inlineStr">
        <is>
          <t>信息显示时间缺年份("01月02日 00:20:58"),不满足年月日时分秒</t>
        </is>
      </c>
      <c r="J47" s="7" t="inlineStr">
        <is>
          <t>不通过</t>
        </is>
      </c>
      <c r="K47" s="2" t="n"/>
      <c r="L47" s="2" t="inlineStr">
        <is>
          <t>2026-08-18</t>
        </is>
      </c>
      <c r="M47" s="3" t="n"/>
      <c r="N47" s="2" t="n"/>
    </row>
    <row r="48">
      <c r="A48" s="2" t="n">
        <v>47</v>
      </c>
      <c r="B48" s="2" t="inlineStr">
        <is>
          <t>FA-11.1</t>
        </is>
      </c>
      <c r="C48" s="3" t="inlineStr">
        <is>
          <t>火灾报警</t>
        </is>
      </c>
      <c r="D48" s="3" t="inlineStr">
        <is>
          <t>日计时误差</t>
        </is>
      </c>
      <c r="E48" s="2" t="inlineStr">
        <is>
          <t>P0</t>
        </is>
      </c>
      <c r="F48" s="3" t="inlineStr">
        <is>
          <t>5.4.1.11</t>
        </is>
      </c>
      <c r="G48" s="3" t="inlineStr">
        <is>
          <t>（见父案步骤）</t>
        </is>
      </c>
      <c r="H48" s="3" t="inlineStr">
        <is>
          <t>日计时误差 ≤6 s</t>
        </is>
      </c>
      <c r="I48" s="3" t="n"/>
      <c r="J48" s="2" t="inlineStr">
        <is>
          <t>通过</t>
        </is>
      </c>
      <c r="K48" s="2" t="n"/>
      <c r="L48" s="2" t="n"/>
      <c r="M48" s="3" t="n"/>
      <c r="N48" s="2" t="n"/>
    </row>
    <row r="49">
      <c r="A49" s="2" t="n">
        <v>48</v>
      </c>
      <c r="B49" s="2" t="inlineStr">
        <is>
          <t>FA-11.2</t>
        </is>
      </c>
      <c r="C49" s="3" t="inlineStr">
        <is>
          <t>火灾报警</t>
        </is>
      </c>
      <c r="D49" s="3" t="inlineStr">
        <is>
          <t>打印时间格式</t>
        </is>
      </c>
      <c r="E49" s="2" t="inlineStr">
        <is>
          <t>P0</t>
        </is>
      </c>
      <c r="F49" s="3" t="inlineStr">
        <is>
          <t>5.4.1.11</t>
        </is>
      </c>
      <c r="G49" s="3" t="inlineStr">
        <is>
          <t>（见父案步骤）</t>
        </is>
      </c>
      <c r="H49" s="3" t="inlineStr">
        <is>
          <t>打印记录含年月日时分秒</t>
        </is>
      </c>
      <c r="I49" s="4" t="inlineStr">
        <is>
          <t>不满足年月日时分秒</t>
        </is>
      </c>
      <c r="J49" s="6" t="inlineStr">
        <is>
          <t>不适用</t>
        </is>
      </c>
      <c r="K49" s="2" t="n"/>
      <c r="L49" s="2" t="inlineStr">
        <is>
          <t>2026-08-18</t>
        </is>
      </c>
      <c r="M49" s="3" t="n"/>
      <c r="N49" s="2" t="n"/>
    </row>
    <row r="50">
      <c r="A50" s="2" t="n">
        <v>49</v>
      </c>
      <c r="B50" s="2" t="inlineStr">
        <is>
          <t>FA-11.3</t>
        </is>
      </c>
      <c r="C50" s="3" t="inlineStr">
        <is>
          <t>火灾报警</t>
        </is>
      </c>
      <c r="D50" s="3" t="inlineStr">
        <is>
          <t>电子记录为主档</t>
        </is>
      </c>
      <c r="E50" s="2" t="inlineStr">
        <is>
          <t>P1</t>
        </is>
      </c>
      <c r="F50" s="3" t="inlineStr">
        <is>
          <t>5.4.1.11/附录 B</t>
        </is>
      </c>
      <c r="G50" s="3" t="inlineStr">
        <is>
          <t>（见父案步骤）</t>
        </is>
      </c>
      <c r="H50" s="3" t="inlineStr">
        <is>
          <t>不允许仅用打印机记录——主档须为电子记录：本机事件记录（显示器可查）+ 运行数据存储单元（黑匣子，附录 B 强制），打印机与 CRT 上传只是副本</t>
        </is>
      </c>
      <c r="I50" s="3" t="n"/>
      <c r="J50" s="2" t="inlineStr">
        <is>
          <t>通过</t>
        </is>
      </c>
      <c r="K50" s="2" t="n"/>
      <c r="L50" s="2" t="n"/>
      <c r="M50" s="3" t="n"/>
      <c r="N50" s="2" t="n"/>
    </row>
    <row r="51">
      <c r="A51" s="2" t="n">
        <v>50</v>
      </c>
      <c r="B51" s="2" t="inlineStr">
        <is>
          <t>FA-11.4</t>
        </is>
      </c>
      <c r="C51" s="3" t="inlineStr">
        <is>
          <t>火灾报警</t>
        </is>
      </c>
      <c r="D51" s="3" t="inlineStr">
        <is>
          <t>打印失败隔离</t>
        </is>
      </c>
      <c r="E51" s="2" t="inlineStr">
        <is>
          <t>P0</t>
        </is>
      </c>
      <c r="F51" s="3" t="inlineStr">
        <is>
          <t>5.4.1.11</t>
        </is>
      </c>
      <c r="G51" s="3" t="inlineStr">
        <is>
          <t>（见父案步骤）</t>
        </is>
      </c>
      <c r="H51" s="3" t="inlineStr">
        <is>
          <t>打印失败不得影响电子记录完整性</t>
        </is>
      </c>
      <c r="I51" s="4" t="inlineStr">
        <is>
          <t>（未填写原因，需补）</t>
        </is>
      </c>
      <c r="J51" s="6" t="inlineStr">
        <is>
          <t>不适用</t>
        </is>
      </c>
      <c r="K51" s="2" t="n"/>
      <c r="L51" s="2" t="inlineStr">
        <is>
          <t>2026-08-18</t>
        </is>
      </c>
      <c r="M51" s="3" t="n"/>
      <c r="N51" s="2" t="n"/>
    </row>
    <row r="52">
      <c r="A52" s="2" t="n">
        <v>51</v>
      </c>
      <c r="B52" s="2" t="inlineStr">
        <is>
          <t>FA-12</t>
        </is>
      </c>
      <c r="C52" s="3" t="inlineStr">
        <is>
          <t>火灾报警</t>
        </is>
      </c>
      <c r="D52" s="3" t="n"/>
      <c r="E52" s="2" t="inlineStr">
        <is>
          <t>可选</t>
        </is>
      </c>
      <c r="F52" s="3" t="inlineStr">
        <is>
          <t>5.4.1.12 ↔ 6.3.12</t>
        </is>
      </c>
      <c r="G52" s="3" t="inlineStr">
        <is>
          <t>阈值设定可查（总案）——测法五步：① 接入支持阈值/灵敏度调节的探测器；② Ⅲ 级权限进设置，选定某部位，修改其响应阈值档并确认下发（探测器应答）；③ 退出设置功能回正常监视态；④ 用普通查询菜单查该部位当前设定值；⑤ 断电重启后复查设定值保持</t>
        </is>
      </c>
      <c r="H52" s="3" t="inlineStr">
        <is>
          <t>见子项</t>
        </is>
      </c>
      <c r="I52" s="3" t="n"/>
      <c r="J52" s="2" t="inlineStr">
        <is>
          <t>待测</t>
        </is>
      </c>
      <c r="K52" s="2" t="n"/>
      <c r="L52" s="2" t="inlineStr">
        <is>
          <t>2026-08-19</t>
        </is>
      </c>
      <c r="M52" s="3" t="inlineStr">
        <is>
          <t>待条件：需支持阈值/灵敏度调节的探测器（可选功能；不支持则改判不适用）</t>
        </is>
      </c>
      <c r="N52" s="2" t="n"/>
    </row>
    <row r="53">
      <c r="A53" s="2" t="n">
        <v>52</v>
      </c>
      <c r="B53" s="2" t="inlineStr">
        <is>
          <t>FA-12.1</t>
        </is>
      </c>
      <c r="C53" s="3" t="inlineStr">
        <is>
          <t>火灾报警</t>
        </is>
      </c>
      <c r="D53" s="3" t="inlineStr">
        <is>
          <t>查得到且值正确</t>
        </is>
      </c>
      <c r="E53" s="2" t="inlineStr">
        <is>
          <t>可选</t>
        </is>
      </c>
      <c r="F53" s="3" t="inlineStr">
        <is>
          <t>5.4.1.12</t>
        </is>
      </c>
      <c r="G53" s="3" t="inlineStr">
        <is>
          <t>（见父案步骤）</t>
        </is>
      </c>
      <c r="H53" s="3" t="inlineStr">
        <is>
          <t>查得到、值为新设定值</t>
        </is>
      </c>
      <c r="I53" s="3" t="n"/>
      <c r="J53" s="2" t="inlineStr">
        <is>
          <t>待测</t>
        </is>
      </c>
      <c r="K53" s="2" t="n"/>
      <c r="L53" s="2" t="inlineStr">
        <is>
          <t>2026-08-19</t>
        </is>
      </c>
      <c r="M53" s="3" t="inlineStr">
        <is>
          <t>待条件：同 FA-12</t>
        </is>
      </c>
      <c r="N53" s="2" t="n"/>
    </row>
    <row r="54">
      <c r="A54" s="2" t="n">
        <v>53</v>
      </c>
      <c r="B54" s="2" t="inlineStr">
        <is>
          <t>FA-12.2</t>
        </is>
      </c>
      <c r="C54" s="3" t="inlineStr">
        <is>
          <t>火灾报警</t>
        </is>
      </c>
      <c r="D54" s="3" t="inlineStr">
        <is>
          <t>设置界面外可查</t>
        </is>
      </c>
      <c r="E54" s="2" t="inlineStr">
        <is>
          <t>可选</t>
        </is>
      </c>
      <c r="F54" s="3" t="inlineStr">
        <is>
          <t>5.4.1.12</t>
        </is>
      </c>
      <c r="G54" s="3" t="inlineStr">
        <is>
          <t>（见父案步骤）</t>
        </is>
      </c>
      <c r="H54" s="3" t="inlineStr">
        <is>
          <t>在设置界面之外可查（不许只在设置界面里可见）</t>
        </is>
      </c>
      <c r="I54" s="3" t="n"/>
      <c r="J54" s="2" t="inlineStr">
        <is>
          <t>待测</t>
        </is>
      </c>
      <c r="K54" s="2" t="n"/>
      <c r="L54" s="2" t="inlineStr">
        <is>
          <t>2026-08-19</t>
        </is>
      </c>
      <c r="M54" s="3" t="inlineStr">
        <is>
          <t>待条件：同 FA-12</t>
        </is>
      </c>
      <c r="N54" s="2" t="n"/>
    </row>
    <row r="55">
      <c r="A55" s="2" t="n">
        <v>54</v>
      </c>
      <c r="B55" s="2" t="inlineStr">
        <is>
          <t>FA-13</t>
        </is>
      </c>
      <c r="C55" s="3" t="inlineStr">
        <is>
          <t>火灾报警</t>
        </is>
      </c>
      <c r="D55" s="3" t="inlineStr">
        <is>
          <t>报警功能不可被阻断</t>
        </is>
      </c>
      <c r="E55" s="2" t="inlineStr">
        <is>
          <t>P0</t>
        </is>
      </c>
      <c r="F55" s="3" t="inlineStr">
        <is>
          <t>5.4.1.13</t>
        </is>
      </c>
      <c r="G55" s="3" t="inlineStr">
        <is>
          <t>各类操作过程中触发火警</t>
        </is>
      </c>
      <c r="H55" s="3" t="inlineStr">
        <is>
          <t>除屏蔽和复位外，任何操作不影响火警接收与发出</t>
        </is>
      </c>
      <c r="I55" s="3" t="n"/>
      <c r="J55" s="2" t="inlineStr">
        <is>
          <t>通过</t>
        </is>
      </c>
      <c r="K55" s="2" t="n"/>
      <c r="L55" s="2" t="n"/>
      <c r="M55" s="3" t="n"/>
      <c r="N55" s="2" t="n"/>
    </row>
    <row r="56">
      <c r="A56" s="2" t="n">
        <v>55</v>
      </c>
      <c r="B56" s="2" t="inlineStr">
        <is>
          <t>LC-01</t>
        </is>
      </c>
      <c r="C56" s="3" t="inlineStr">
        <is>
          <t>报警控制(联动输出)</t>
        </is>
      </c>
      <c r="D56" s="3" t="inlineStr">
        <is>
          <t>警报器控制输出</t>
        </is>
      </c>
      <c r="E56" s="2" t="inlineStr">
        <is>
          <t>P0</t>
        </is>
      </c>
      <c r="F56" s="3" t="inlineStr">
        <is>
          <t>5.4.2.1 ↔ 6.4.1</t>
        </is>
      </c>
      <c r="G56" s="3" t="inlineStr">
        <is>
          <t>使控制器进入火警状态并确认火警行为包成立（按 §0.2 口径）；随后测量警报器输出端子</t>
        </is>
      </c>
      <c r="H56" s="3" t="inlineStr">
        <is>
          <t>火警状态成立后，火灾声和/或光警报器控制输出必须出现：有源输出＝端子上出现 24 V 输出电压（万用表测），无源输出＝干接点闭合（通断表测）。本条只验"输出存在性"，启动时限 ≤3 s 归 LC-02</t>
        </is>
      </c>
      <c r="I56" s="3" t="n"/>
      <c r="J56" s="2" t="inlineStr">
        <is>
          <t>通过</t>
        </is>
      </c>
      <c r="K56" s="2" t="n"/>
      <c r="L56" s="2" t="inlineStr">
        <is>
          <t>2026-09-03</t>
        </is>
      </c>
      <c r="M56" s="3" t="n"/>
      <c r="N56" s="2" t="n"/>
    </row>
    <row r="57">
      <c r="A57" s="2" t="n">
        <v>56</v>
      </c>
      <c r="B57" s="2" t="inlineStr">
        <is>
          <t>LC-02</t>
        </is>
      </c>
      <c r="C57" s="3" t="inlineStr">
        <is>
          <t>报警控制(联动输出)</t>
        </is>
      </c>
      <c r="D57" s="3" t="n"/>
      <c r="E57" s="2" t="inlineStr">
        <is>
          <t>P0</t>
        </is>
      </c>
      <c r="F57" s="3" t="inlineStr">
        <is>
          <t>5.4.2.6 ↔ 6.4.6</t>
        </is>
      </c>
      <c r="G57" s="3" t="inlineStr">
        <is>
          <t>控制输出启动时延（总案）——三分支各测：① 自动+无延时；② 配延时的输出；③ 手动状态</t>
        </is>
      </c>
      <c r="H57" s="3" t="inlineStr">
        <is>
          <t>见子项</t>
        </is>
      </c>
      <c r="I57" s="3" t="n"/>
      <c r="J57" s="2" t="inlineStr">
        <is>
          <t>待测</t>
        </is>
      </c>
      <c r="K57" s="2" t="n"/>
      <c r="L57" s="2" t="n"/>
      <c r="M57" s="3" t="inlineStr">
        <is>
          <t>子项①③（无延时/手动放行）通过；②延时分支不适用（产品未实现输出延时）——P0 总案按适用子项判</t>
        </is>
      </c>
      <c r="N57" s="2" t="n"/>
    </row>
    <row r="58">
      <c r="A58" s="2" t="n">
        <v>57</v>
      </c>
      <c r="B58" s="2" t="inlineStr">
        <is>
          <t>LC-02.1</t>
        </is>
      </c>
      <c r="C58" s="3" t="inlineStr">
        <is>
          <t>报警控制(联动输出)</t>
        </is>
      </c>
      <c r="D58" s="3" t="inlineStr">
        <is>
          <t>自动无延时时限</t>
        </is>
      </c>
      <c r="E58" s="2" t="inlineStr">
        <is>
          <t>P0</t>
        </is>
      </c>
      <c r="F58" s="3" t="inlineStr">
        <is>
          <t>5.4.2.6</t>
        </is>
      </c>
      <c r="G58" s="3" t="inlineStr">
        <is>
          <t>（见父案步骤）</t>
        </is>
      </c>
      <c r="H58" s="3" t="inlineStr">
        <is>
          <t>① ≤3 s 启动相关控制输出——起点＝触发器件信号到达控制器（与 FA-01 同源；3 s 比宣布火警的 10 s 更严，两表同起点分别掐）</t>
        </is>
      </c>
      <c r="I58" s="3" t="n"/>
      <c r="J58" s="2" t="inlineStr">
        <is>
          <t>待测</t>
        </is>
      </c>
      <c r="K58" s="2" t="n"/>
      <c r="L58" s="2" t="n"/>
      <c r="M58" s="3" t="n"/>
      <c r="N58" s="2" t="n"/>
    </row>
    <row r="59">
      <c r="A59" s="2" t="n">
        <v>58</v>
      </c>
      <c r="B59" s="2" t="inlineStr">
        <is>
          <t>LC-02.2</t>
        </is>
      </c>
      <c r="C59" s="3" t="inlineStr">
        <is>
          <t>报警控制(联动输出)</t>
        </is>
      </c>
      <c r="D59" s="3" t="inlineStr">
        <is>
          <t>延时期间不输出</t>
        </is>
      </c>
      <c r="E59" s="2" t="inlineStr">
        <is>
          <t>P0</t>
        </is>
      </c>
      <c r="F59" s="3" t="inlineStr">
        <is>
          <t>5.4.2.6</t>
        </is>
      </c>
      <c r="G59" s="3" t="inlineStr">
        <is>
          <t>（见父案步骤）</t>
        </is>
      </c>
      <c r="H59" s="3" t="inlineStr">
        <is>
          <t>② 配延时的输出：3 s 不适用（原文括号豁免），延时期间输出不动</t>
        </is>
      </c>
      <c r="I59" s="3" t="n"/>
      <c r="J59" s="2" t="inlineStr">
        <is>
          <t>通过</t>
        </is>
      </c>
      <c r="K59" s="2" t="n"/>
      <c r="L59" s="2" t="n"/>
      <c r="M59" s="3" t="inlineStr">
        <is>
          <t>延时条件分支：输出延时为可选功能（5.4.2.10 条件适用），产品未实现→分支不适用</t>
        </is>
      </c>
      <c r="N59" s="2" t="n"/>
    </row>
    <row r="60">
      <c r="A60" s="2" t="n">
        <v>59</v>
      </c>
      <c r="B60" s="2" t="inlineStr">
        <is>
          <t>LC-02.3</t>
        </is>
      </c>
      <c r="C60" s="3" t="inlineStr">
        <is>
          <t>报警控制(联动输出)</t>
        </is>
      </c>
      <c r="D60" s="3" t="inlineStr">
        <is>
          <t>延时到期启动</t>
        </is>
      </c>
      <c r="E60" s="2" t="inlineStr">
        <is>
          <t>P0</t>
        </is>
      </c>
      <c r="F60" s="3" t="inlineStr">
        <is>
          <t>5.4.2.6</t>
        </is>
      </c>
      <c r="G60" s="3" t="inlineStr">
        <is>
          <t>（见父案步骤）</t>
        </is>
      </c>
      <c r="H60" s="3" t="inlineStr">
        <is>
          <t>② 延时到期→启动（到期至输出的间隔按 ≤3 s 同口径记录——标准未单独给数，自加口径；延时行为本身归 LC-09）</t>
        </is>
      </c>
      <c r="I60" s="3" t="n"/>
      <c r="J60" s="2" t="inlineStr">
        <is>
          <t>通过</t>
        </is>
      </c>
      <c r="K60" s="2" t="n"/>
      <c r="L60" s="2" t="n"/>
      <c r="M60" s="3" t="inlineStr">
        <is>
          <t>延时条件分支：输出延时为可选功能（5.4.2.10 条件适用），产品未实现→分支不适用</t>
        </is>
      </c>
      <c r="N60" s="2" t="n"/>
    </row>
    <row r="61">
      <c r="A61" s="2" t="n">
        <v>60</v>
      </c>
      <c r="B61" s="2" t="inlineStr">
        <is>
          <t>LC-02.4</t>
        </is>
      </c>
      <c r="C61" s="3" t="inlineStr">
        <is>
          <t>报警控制(联动输出)</t>
        </is>
      </c>
      <c r="D61" s="3" t="inlineStr">
        <is>
          <t>手动放行即时性</t>
        </is>
      </c>
      <c r="E61" s="2" t="inlineStr">
        <is>
          <t>P0</t>
        </is>
      </c>
      <c r="F61" s="3" t="inlineStr">
        <is>
          <t>5.4.2.6</t>
        </is>
      </c>
      <c r="G61" s="3" t="inlineStr">
        <is>
          <t>（见父案步骤）</t>
        </is>
      </c>
      <c r="H61" s="3" t="inlineStr">
        <is>
          <t>③ 手动状态：3 s 不适用（输出挂"请求"）；操作联动启动/直控启动键放行→输出应即时无明显迟滞（标准未给数值，按 ≤3 s 同口径记录，自加口径）</t>
        </is>
      </c>
      <c r="I61" s="3" t="n"/>
      <c r="J61" s="2" t="inlineStr">
        <is>
          <t>通过</t>
        </is>
      </c>
      <c r="K61" s="2" t="n"/>
      <c r="L61" s="2" t="n"/>
      <c r="M61" s="3" t="n"/>
      <c r="N61" s="2" t="n"/>
    </row>
    <row r="62">
      <c r="A62" s="2" t="n">
        <v>61</v>
      </c>
      <c r="B62" s="2" t="inlineStr">
        <is>
          <t>LC-03</t>
        </is>
      </c>
      <c r="C62" s="3" t="inlineStr">
        <is>
          <t>报警控制(联动输出)</t>
        </is>
      </c>
      <c r="D62" s="3" t="n"/>
      <c r="E62" s="2" t="inlineStr">
        <is>
          <t>P0</t>
        </is>
      </c>
      <c r="F62" s="3" t="inlineStr">
        <is>
          <t>5.4.2.2 ↔ 6.4.1</t>
        </is>
      </c>
      <c r="G62" s="3" t="inlineStr">
        <is>
          <t>手动/自动转换（总案）——用钥匙开关切换手/自动，各状态下触发输出逻辑</t>
        </is>
      </c>
      <c r="H62" s="3" t="inlineStr">
        <is>
          <t>见子项</t>
        </is>
      </c>
      <c r="I62" s="3" t="n"/>
      <c r="J62" s="2" t="inlineStr">
        <is>
          <t>通过</t>
        </is>
      </c>
      <c r="K62" s="2" t="n"/>
      <c r="L62" s="2" t="inlineStr">
        <is>
          <t>2026-08-19</t>
        </is>
      </c>
      <c r="M62" s="3" t="n"/>
      <c r="N62" s="2" t="n"/>
    </row>
    <row r="63">
      <c r="A63" s="2" t="n">
        <v>62</v>
      </c>
      <c r="B63" s="2" t="inlineStr">
        <is>
          <t>LC-03.1</t>
        </is>
      </c>
      <c r="C63" s="3" t="inlineStr">
        <is>
          <t>报警控制(联动输出)</t>
        </is>
      </c>
      <c r="D63" s="3" t="inlineStr">
        <is>
          <t>钥匙开关形态</t>
        </is>
      </c>
      <c r="E63" s="2" t="inlineStr">
        <is>
          <t>P0</t>
        </is>
      </c>
      <c r="F63" s="3" t="inlineStr">
        <is>
          <t>5.4.2.2</t>
        </is>
      </c>
      <c r="G63" s="3" t="inlineStr">
        <is>
          <t>（见父案步骤）</t>
        </is>
      </c>
      <c r="H63" s="3" t="inlineStr">
        <is>
          <t>转换采用自复位钥匙开关</t>
        </is>
      </c>
      <c r="I63" s="3" t="n"/>
      <c r="J63" s="2" t="inlineStr">
        <is>
          <t>通过</t>
        </is>
      </c>
      <c r="K63" s="2" t="n"/>
      <c r="L63" s="2" t="inlineStr">
        <is>
          <t>2026-08-19</t>
        </is>
      </c>
      <c r="M63" s="3" t="n"/>
      <c r="N63" s="2" t="n"/>
    </row>
    <row r="64">
      <c r="A64" s="2" t="n">
        <v>63</v>
      </c>
      <c r="B64" s="2" t="inlineStr">
        <is>
          <t>LC-03.2</t>
        </is>
      </c>
      <c r="C64" s="3" t="inlineStr">
        <is>
          <t>报警控制(联动输出)</t>
        </is>
      </c>
      <c r="D64" s="3" t="inlineStr">
        <is>
          <t>状态指示灯</t>
        </is>
      </c>
      <c r="E64" s="2" t="inlineStr">
        <is>
          <t>P0</t>
        </is>
      </c>
      <c r="F64" s="3" t="inlineStr">
        <is>
          <t>5.4.2.2</t>
        </is>
      </c>
      <c r="G64" s="3" t="inlineStr">
        <is>
          <t>（见父案步骤）</t>
        </is>
      </c>
      <c r="H64" s="3" t="inlineStr">
        <is>
          <t>有手/自动状态指示灯</t>
        </is>
      </c>
      <c r="I64" s="3" t="n"/>
      <c r="J64" s="2" t="inlineStr">
        <is>
          <t>通过</t>
        </is>
      </c>
      <c r="K64" s="2" t="n"/>
      <c r="L64" s="2" t="inlineStr">
        <is>
          <t>2026-08-19</t>
        </is>
      </c>
      <c r="M64" s="3" t="n"/>
      <c r="N64" s="2" t="n"/>
    </row>
    <row r="65">
      <c r="A65" s="2" t="n">
        <v>64</v>
      </c>
      <c r="B65" s="2" t="inlineStr">
        <is>
          <t>LC-03.3</t>
        </is>
      </c>
      <c r="C65" s="3" t="inlineStr">
        <is>
          <t>报警控制(联动输出)</t>
        </is>
      </c>
      <c r="D65" s="3" t="inlineStr">
        <is>
          <t>手动态拦截语义</t>
        </is>
      </c>
      <c r="E65" s="2" t="inlineStr">
        <is>
          <t>P0</t>
        </is>
      </c>
      <c r="F65" s="3" t="inlineStr">
        <is>
          <t>5.4.2.2/5.4.2.5 c)</t>
        </is>
      </c>
      <c r="G65" s="3" t="inlineStr">
        <is>
          <t>（见父案步骤）</t>
        </is>
      </c>
      <c r="H65" s="3" t="inlineStr">
        <is>
          <t>手动状态下被拦的只有一类：满足联动逻辑的自动控制输出（警报器/联动设备驱动信号）——不丢弃而是挂成"请求"（直控启动键闪亮，5.4.2.5 c)），等人经联动启动按钮或直控启动键放行</t>
        </is>
      </c>
      <c r="I65" s="3" t="inlineStr">
        <is>
          <t>手动下，按【联动启动】按钮，应该有响应。现在只有一声按键声。</t>
        </is>
      </c>
      <c r="J65" s="2" t="inlineStr">
        <is>
          <t>不通过</t>
        </is>
      </c>
      <c r="K65" s="2" t="n"/>
      <c r="L65" s="2" t="n"/>
      <c r="M65" s="3" t="n"/>
      <c r="N65" s="2" t="n"/>
    </row>
    <row r="66">
      <c r="A66" s="2" t="n">
        <v>65</v>
      </c>
      <c r="B66" s="2" t="inlineStr">
        <is>
          <t>LC-03.4</t>
        </is>
      </c>
      <c r="C66" s="3" t="inlineStr">
        <is>
          <t>报警控制(联动输出)</t>
        </is>
      </c>
      <c r="D66" s="3" t="inlineStr">
        <is>
          <t>报警层不受影响</t>
        </is>
      </c>
      <c r="E66" s="2" t="inlineStr">
        <is>
          <t>P0</t>
        </is>
      </c>
      <c r="F66" s="3" t="inlineStr">
        <is>
          <t>5.4.1.13</t>
        </is>
      </c>
      <c r="G66" s="3" t="inlineStr">
        <is>
          <t>（见父案步骤）</t>
        </is>
      </c>
      <c r="H66" s="3" t="inlineStr">
        <is>
          <t>手动状态下火警判定/声光/总灯/显示记录照常发生（报警层与手自动无关）</t>
        </is>
      </c>
      <c r="I66" s="3" t="n"/>
      <c r="J66" s="2" t="inlineStr">
        <is>
          <t>通过</t>
        </is>
      </c>
      <c r="K66" s="2" t="n"/>
      <c r="L66" s="2" t="n"/>
      <c r="M66" s="3" t="n"/>
      <c r="N66" s="2" t="n"/>
    </row>
    <row r="67">
      <c r="A67" s="2" t="n">
        <v>66</v>
      </c>
      <c r="B67" s="2" t="inlineStr">
        <is>
          <t>LC-03.5</t>
        </is>
      </c>
      <c r="C67" s="3" t="inlineStr">
        <is>
          <t>报警控制(联动输出)</t>
        </is>
      </c>
      <c r="D67" s="3" t="inlineStr">
        <is>
          <t>故障/监管不受影响</t>
        </is>
      </c>
      <c r="E67" s="2" t="inlineStr">
        <is>
          <t>P0</t>
        </is>
      </c>
      <c r="F67" s="3" t="inlineStr">
        <is>
          <t>5.4.3.1/5.4.5.1</t>
        </is>
      </c>
      <c r="G67" s="3" t="inlineStr">
        <is>
          <t>（见父案步骤）</t>
        </is>
      </c>
      <c r="H67" s="3" t="inlineStr">
        <is>
          <t>手动状态下故障与监管报警照常发生</t>
        </is>
      </c>
      <c r="I67" s="3" t="n"/>
      <c r="J67" s="2" t="inlineStr">
        <is>
          <t>通过</t>
        </is>
      </c>
      <c r="K67" s="2" t="n"/>
      <c r="L67" s="2" t="inlineStr">
        <is>
          <t>2026-08-19</t>
        </is>
      </c>
      <c r="M67" s="3" t="n"/>
      <c r="N67" s="2" t="n"/>
    </row>
    <row r="68">
      <c r="A68" s="2" t="n">
        <v>67</v>
      </c>
      <c r="B68" s="2" t="inlineStr">
        <is>
          <t>LC-03.7</t>
        </is>
      </c>
      <c r="C68" s="3" t="inlineStr">
        <is>
          <t>报警控制(联动输出)</t>
        </is>
      </c>
      <c r="D68" s="3" t="inlineStr">
        <is>
          <t>反馈接收不受影响</t>
        </is>
      </c>
      <c r="E68" s="2" t="inlineStr">
        <is>
          <t>P0</t>
        </is>
      </c>
      <c r="F68" s="3" t="inlineStr">
        <is>
          <t>5.4.2.9（推导）</t>
        </is>
      </c>
      <c r="G68" s="3" t="inlineStr">
        <is>
          <t>（见父案步骤）</t>
        </is>
      </c>
      <c r="H68" s="3" t="inlineStr">
        <is>
          <t>手动状态下反馈接收照常发生</t>
        </is>
      </c>
      <c r="I68" s="3" t="n"/>
      <c r="J68" s="2" t="inlineStr">
        <is>
          <t>通过</t>
        </is>
      </c>
      <c r="K68" s="2" t="n"/>
      <c r="L68" s="2" t="n"/>
      <c r="M68" s="3" t="n"/>
      <c r="N68" s="2" t="n"/>
    </row>
    <row r="69">
      <c r="A69" s="2" t="n">
        <v>68</v>
      </c>
      <c r="B69" s="2" t="inlineStr">
        <is>
          <t>LC-04</t>
        </is>
      </c>
      <c r="C69" s="3" t="inlineStr">
        <is>
          <t>报警控制(联动输出)</t>
        </is>
      </c>
      <c r="D69" s="3" t="n"/>
      <c r="E69" s="2" t="inlineStr">
        <is>
          <t>P1</t>
        </is>
      </c>
      <c r="F69" s="3" t="inlineStr">
        <is>
          <t>5.4.2.4 ↔ 6.4.3</t>
        </is>
      </c>
      <c r="G69" s="3" t="inlineStr">
        <is>
          <t>联动启动控制按钮（总案）——检查按钮形态；手动状态下操作</t>
        </is>
      </c>
      <c r="H69" s="3" t="inlineStr">
        <is>
          <t>见子项</t>
        </is>
      </c>
      <c r="I69" s="3" t="n"/>
      <c r="J69" s="2" t="inlineStr">
        <is>
          <t>通过</t>
        </is>
      </c>
      <c r="K69" s="2" t="n"/>
      <c r="L69" s="2" t="n"/>
      <c r="M69" s="3" t="n"/>
      <c r="N69" s="2" t="n"/>
    </row>
    <row r="70">
      <c r="A70" s="2" t="n">
        <v>69</v>
      </c>
      <c r="B70" s="2" t="inlineStr">
        <is>
          <t>LC-04.1</t>
        </is>
      </c>
      <c r="C70" s="3" t="inlineStr">
        <is>
          <t>报警控制(联动输出)</t>
        </is>
      </c>
      <c r="D70" s="3" t="inlineStr">
        <is>
          <t>按钮形态</t>
        </is>
      </c>
      <c r="E70" s="2" t="inlineStr">
        <is>
          <t>P1</t>
        </is>
      </c>
      <c r="F70" s="3" t="inlineStr">
        <is>
          <t>5.4.2.4</t>
        </is>
      </c>
      <c r="G70" s="3" t="inlineStr">
        <is>
          <t>（见父案步骤）</t>
        </is>
      </c>
      <c r="H70" s="3" t="inlineStr">
        <is>
          <t>圆形红色、直径 ≥12 mm</t>
        </is>
      </c>
      <c r="I70" s="3" t="n"/>
      <c r="J70" s="2" t="inlineStr">
        <is>
          <t>通过</t>
        </is>
      </c>
      <c r="K70" s="2" t="n"/>
      <c r="L70" s="2" t="n"/>
      <c r="M70" s="3" t="n"/>
      <c r="N70" s="2" t="n"/>
    </row>
    <row r="71">
      <c r="A71" s="2" t="n">
        <v>70</v>
      </c>
      <c r="B71" s="2" t="inlineStr">
        <is>
          <t>LC-04.2</t>
        </is>
      </c>
      <c r="C71" s="3" t="inlineStr">
        <is>
          <t>报警控制(联动输出)</t>
        </is>
      </c>
      <c r="D71" s="3" t="inlineStr">
        <is>
          <t>防误操作措施</t>
        </is>
      </c>
      <c r="E71" s="2" t="inlineStr">
        <is>
          <t>P1</t>
        </is>
      </c>
      <c r="F71" s="3" t="inlineStr">
        <is>
          <t>5.4.2.4</t>
        </is>
      </c>
      <c r="G71" s="3" t="inlineStr">
        <is>
          <t>（见父案步骤）</t>
        </is>
      </c>
      <c r="H71" s="3" t="inlineStr">
        <is>
          <t>有防误操作措施</t>
        </is>
      </c>
      <c r="I71" s="3" t="n"/>
      <c r="J71" s="2" t="inlineStr">
        <is>
          <t>通过</t>
        </is>
      </c>
      <c r="K71" s="2" t="n"/>
      <c r="L71" s="2" t="n"/>
      <c r="M71" s="3" t="n"/>
      <c r="N71" s="2" t="n"/>
    </row>
    <row r="72">
      <c r="A72" s="2" t="n">
        <v>71</v>
      </c>
      <c r="B72" s="2" t="inlineStr">
        <is>
          <t>LC-04.3</t>
        </is>
      </c>
      <c r="C72" s="3" t="inlineStr">
        <is>
          <t>报警控制(联动输出)</t>
        </is>
      </c>
      <c r="D72" s="3" t="inlineStr">
        <is>
          <t>禁用密码保护</t>
        </is>
      </c>
      <c r="E72" s="2" t="inlineStr">
        <is>
          <t>P1</t>
        </is>
      </c>
      <c r="F72" s="3" t="inlineStr">
        <is>
          <t>5.4.2.4</t>
        </is>
      </c>
      <c r="G72" s="3" t="inlineStr">
        <is>
          <t>（见父案步骤）</t>
        </is>
      </c>
      <c r="H72" s="3" t="inlineStr">
        <is>
          <t>防误操作措施不得用密码保护</t>
        </is>
      </c>
      <c r="I72" s="3" t="n"/>
      <c r="J72" s="2" t="inlineStr">
        <is>
          <t>通过</t>
        </is>
      </c>
      <c r="K72" s="2" t="n"/>
      <c r="L72" s="2" t="n"/>
      <c r="M72" s="3" t="n"/>
      <c r="N72" s="2" t="n"/>
    </row>
    <row r="73">
      <c r="A73" s="2" t="n">
        <v>72</v>
      </c>
      <c r="B73" s="2" t="inlineStr">
        <is>
          <t>LC-04.4</t>
        </is>
      </c>
      <c r="C73" s="3" t="inlineStr">
        <is>
          <t>报警控制(联动输出)</t>
        </is>
      </c>
      <c r="D73" s="3" t="inlineStr">
        <is>
          <t>启动前提</t>
        </is>
      </c>
      <c r="E73" s="2" t="inlineStr">
        <is>
          <t>P1</t>
        </is>
      </c>
      <c r="F73" s="3" t="inlineStr">
        <is>
          <t>5.4.2.4</t>
        </is>
      </c>
      <c r="G73" s="3" t="inlineStr">
        <is>
          <t>（见父案步骤）</t>
        </is>
      </c>
      <c r="H73" s="3" t="inlineStr">
        <is>
          <t>当 控 制 器 处 于
手动控制状态时,手动操作联动启动控制按钮(键),应 能 按 已 接 收 的 火 灾 报 警 信 号,启 动 满 足 设 定 控 制
逻辑的联动控制信号</t>
        </is>
      </c>
      <c r="I73" s="3" t="n"/>
      <c r="J73" s="2" t="inlineStr">
        <is>
          <t>通过</t>
        </is>
      </c>
      <c r="K73" s="2" t="n"/>
      <c r="L73" s="2" t="n"/>
      <c r="M73" s="3" t="n"/>
      <c r="N73" s="2" t="n"/>
    </row>
    <row r="74">
      <c r="A74" s="2" t="n">
        <v>73</v>
      </c>
      <c r="B74" s="2" t="inlineStr">
        <is>
          <t>LC-05</t>
        </is>
      </c>
      <c r="C74" s="3" t="inlineStr">
        <is>
          <t>报警控制(联动输出)</t>
        </is>
      </c>
      <c r="D74" s="3" t="n"/>
      <c r="E74" s="2" t="inlineStr">
        <is>
          <t>P1</t>
        </is>
      </c>
      <c r="F74" s="3" t="inlineStr">
        <is>
          <t>5.4.2.3 ↔ 6.4.2</t>
        </is>
      </c>
      <c r="G74" s="3" t="inlineStr">
        <is>
          <t>信息确认按钮（总案）——制造多条火警与故障信息，逐条确认</t>
        </is>
      </c>
      <c r="H74" s="3" t="inlineStr">
        <is>
          <t>见子项</t>
        </is>
      </c>
      <c r="I74" s="3" t="n"/>
      <c r="J74" s="2" t="inlineStr">
        <is>
          <t>通过</t>
        </is>
      </c>
      <c r="K74" s="2" t="n"/>
      <c r="L74" s="2" t="n"/>
      <c r="M74" s="3" t="n"/>
      <c r="N74" s="2" t="n"/>
    </row>
    <row r="75">
      <c r="A75" s="2" t="n">
        <v>74</v>
      </c>
      <c r="B75" s="2" t="inlineStr">
        <is>
          <t>LC-05.1</t>
        </is>
      </c>
      <c r="C75" s="3" t="inlineStr">
        <is>
          <t>报警控制(联动输出)</t>
        </is>
      </c>
      <c r="D75" s="3" t="inlineStr">
        <is>
          <t>独立按钮</t>
        </is>
      </c>
      <c r="E75" s="2" t="inlineStr">
        <is>
          <t>P1</t>
        </is>
      </c>
      <c r="F75" s="3" t="inlineStr">
        <is>
          <t>5.4.2.3</t>
        </is>
      </c>
      <c r="G75" s="3" t="inlineStr">
        <is>
          <t>（见父案步骤）</t>
        </is>
      </c>
      <c r="H75" s="3" t="inlineStr">
        <is>
          <t>独立按钮</t>
        </is>
      </c>
      <c r="I75" s="3" t="n"/>
      <c r="J75" s="2" t="inlineStr">
        <is>
          <t>通过</t>
        </is>
      </c>
      <c r="K75" s="2" t="n"/>
      <c r="L75" s="2" t="n"/>
      <c r="M75" s="3" t="n"/>
      <c r="N75" s="2" t="n"/>
    </row>
    <row r="76">
      <c r="A76" s="2" t="n">
        <v>75</v>
      </c>
      <c r="B76" s="2" t="inlineStr">
        <is>
          <t>LC-05.2</t>
        </is>
      </c>
      <c r="C76" s="3" t="inlineStr">
        <is>
          <t>报警控制(联动输出)</t>
        </is>
      </c>
      <c r="D76" s="3" t="inlineStr">
        <is>
          <t>逐条确认</t>
        </is>
      </c>
      <c r="E76" s="2" t="inlineStr">
        <is>
          <t>P1</t>
        </is>
      </c>
      <c r="F76" s="3" t="inlineStr">
        <is>
          <t>5.4.2.3</t>
        </is>
      </c>
      <c r="G76" s="3" t="inlineStr">
        <is>
          <t>（见父案步骤）</t>
        </is>
      </c>
      <c r="H76" s="3" t="inlineStr">
        <is>
          <t>可逐条确认</t>
        </is>
      </c>
      <c r="I76" s="3" t="n"/>
      <c r="J76" s="2" t="inlineStr">
        <is>
          <t>通过</t>
        </is>
      </c>
      <c r="K76" s="2" t="n"/>
      <c r="L76" s="2" t="n"/>
      <c r="M76" s="3" t="n"/>
      <c r="N76" s="2" t="n"/>
    </row>
    <row r="77">
      <c r="A77" s="2" t="n">
        <v>76</v>
      </c>
      <c r="B77" s="2" t="inlineStr">
        <is>
          <t>LC-05.3</t>
        </is>
      </c>
      <c r="C77" s="3" t="inlineStr">
        <is>
          <t>报警控制(联动输出)</t>
        </is>
      </c>
      <c r="D77" s="3" t="inlineStr">
        <is>
          <t>已确认标识</t>
        </is>
      </c>
      <c r="E77" s="2" t="inlineStr">
        <is>
          <t>P1</t>
        </is>
      </c>
      <c r="F77" s="3" t="inlineStr">
        <is>
          <t>5.4.2.3</t>
        </is>
      </c>
      <c r="G77" s="3" t="inlineStr">
        <is>
          <t>（见父案步骤）</t>
        </is>
      </c>
      <c r="H77" s="3" t="inlineStr">
        <is>
          <t>对已确认信息做标识</t>
        </is>
      </c>
      <c r="I77" s="3" t="n"/>
      <c r="J77" s="2" t="inlineStr">
        <is>
          <t>通过</t>
        </is>
      </c>
      <c r="K77" s="2" t="n"/>
      <c r="L77" s="2" t="n"/>
      <c r="M77" s="3" t="n"/>
      <c r="N77" s="2" t="n"/>
    </row>
    <row r="78">
      <c r="A78" s="2" t="n">
        <v>77</v>
      </c>
      <c r="B78" s="2" t="inlineStr">
        <is>
          <t>LC-06</t>
        </is>
      </c>
      <c r="C78" s="3" t="inlineStr">
        <is>
          <t>报警控制(联动输出)</t>
        </is>
      </c>
      <c r="D78" s="3" t="n"/>
      <c r="E78" s="2" t="inlineStr">
        <is>
          <t>P1</t>
        </is>
      </c>
      <c r="F78" s="3" t="inlineStr">
        <is>
          <t>5.4.2.5 ↔ 6.4.4</t>
        </is>
      </c>
      <c r="G78" s="3" t="inlineStr">
        <is>
          <t>直接控制输出与指示灯逻辑（总案）——手动、自动两种状态各验证一遍（6.4.4 a/e）：逐组操作控制开关：请求→启动→反馈→停止；使受控设备分别发故障和反馈信号（6.4.4 c)）；启停键同按不释放；测输出电压/电流/容量</t>
        </is>
      </c>
      <c r="H78" s="3" t="inlineStr">
        <is>
          <t>见子项</t>
        </is>
      </c>
      <c r="I78" s="3" t="n"/>
      <c r="J78" s="2" t="inlineStr">
        <is>
          <t>待测</t>
        </is>
      </c>
      <c r="K78" s="2" t="n"/>
      <c r="L78" s="2" t="n"/>
      <c r="M78" s="3" t="inlineStr">
        <is>
          <t>单模块分时接直控两组，逐组验证</t>
        </is>
      </c>
      <c r="N78" s="2" t="n"/>
    </row>
    <row r="79">
      <c r="A79" s="2" t="n">
        <v>78</v>
      </c>
      <c r="B79" s="2" t="inlineStr">
        <is>
          <t>LC-06.1</t>
        </is>
      </c>
      <c r="C79" s="3" t="inlineStr">
        <is>
          <t>报警控制(联动输出)</t>
        </is>
      </c>
      <c r="D79" s="3" t="inlineStr">
        <is>
          <t>直控点数</t>
        </is>
      </c>
      <c r="E79" s="2" t="inlineStr">
        <is>
          <t>P1</t>
        </is>
      </c>
      <c r="F79" s="3" t="inlineStr">
        <is>
          <t>5.4.2.5/§17</t>
        </is>
      </c>
      <c r="G79" s="3" t="inlineStr">
        <is>
          <t>（见父案步骤）</t>
        </is>
      </c>
      <c r="H79" s="3" t="inlineStr">
        <is>
          <t>点数判据随产品形态定（见 §17）：无联动功能形态＝≥2 点且 ≤5 点（5 点上限是产品类别边界：超过即属联动控制器须按 GB 16806 认证）；带联动功能形态＝按 GB 16806 4.2.2.8 ≥6 组</t>
        </is>
      </c>
      <c r="I79" s="3" t="inlineStr">
        <is>
          <t>介入输入输出模块，巡检灯是亮的，用万用表测电压，电压是跳动的，接近 24V。按启动按钮。启动按钮不亮</t>
        </is>
      </c>
      <c r="J79" s="2" t="inlineStr">
        <is>
          <t>不通过</t>
        </is>
      </c>
      <c r="K79" s="2" t="n"/>
      <c r="L79" s="2" t="n"/>
      <c r="M79" s="3" t="n"/>
      <c r="N79" s="2" t="n"/>
    </row>
    <row r="80">
      <c r="A80" s="2" t="n">
        <v>79</v>
      </c>
      <c r="B80" s="2" t="inlineStr">
        <is>
          <t>LC-06.2</t>
        </is>
      </c>
      <c r="C80" s="3" t="inlineStr">
        <is>
          <t>报警控制(联动输出)</t>
        </is>
      </c>
      <c r="D80" s="3" t="inlineStr">
        <is>
          <t>每组器件配置</t>
        </is>
      </c>
      <c r="E80" s="2" t="inlineStr">
        <is>
          <t>P1</t>
        </is>
      </c>
      <c r="F80" s="3" t="inlineStr">
        <is>
          <t>5.4.2.5</t>
        </is>
      </c>
      <c r="G80" s="3" t="inlineStr">
        <is>
          <t>（见父案步骤）</t>
        </is>
      </c>
      <c r="H80" s="3" t="inlineStr">
        <is>
          <t>每组带灯启动键+带灯停止键+启动/反馈灯+故障灯</t>
        </is>
      </c>
      <c r="I80" s="3" t="n"/>
      <c r="J80" s="2" t="inlineStr">
        <is>
          <t>通过</t>
        </is>
      </c>
      <c r="K80" s="2" t="n"/>
      <c r="L80" s="2" t="n"/>
      <c r="M80" s="3" t="n"/>
      <c r="N80" s="2" t="n"/>
    </row>
    <row r="81">
      <c r="A81" s="2" t="n">
        <v>80</v>
      </c>
      <c r="B81" s="2" t="inlineStr">
        <is>
          <t>LC-06.3</t>
        </is>
      </c>
      <c r="C81" s="3" t="inlineStr">
        <is>
          <t>报警控制(联动输出)</t>
        </is>
      </c>
      <c r="D81" s="3" t="inlineStr">
        <is>
          <t>按键尺寸间隔</t>
        </is>
      </c>
      <c r="E81" s="2" t="inlineStr">
        <is>
          <t>P1</t>
        </is>
      </c>
      <c r="F81" s="3" t="inlineStr">
        <is>
          <t>5.4.2.5</t>
        </is>
      </c>
      <c r="G81" s="3" t="inlineStr">
        <is>
          <t>（见父案步骤）</t>
        </is>
      </c>
      <c r="H81" s="3" t="inlineStr">
        <is>
          <t>按键 ≥12 mm、间隔 ≥10 mm</t>
        </is>
      </c>
      <c r="I81" s="3" t="n"/>
      <c r="J81" s="2" t="inlineStr">
        <is>
          <t>通过</t>
        </is>
      </c>
      <c r="K81" s="2" t="n"/>
      <c r="L81" s="2" t="n"/>
      <c r="M81" s="3" t="n"/>
      <c r="N81" s="2" t="n"/>
    </row>
    <row r="82">
      <c r="A82" s="2" t="n">
        <v>81</v>
      </c>
      <c r="B82" s="2" t="inlineStr">
        <is>
          <t>LC-06.4</t>
        </is>
      </c>
      <c r="C82" s="3" t="inlineStr">
        <is>
          <t>报警控制(联动输出)</t>
        </is>
      </c>
      <c r="D82" s="3" t="inlineStr">
        <is>
          <t>启动键灯逻辑</t>
        </is>
      </c>
      <c r="E82" s="2" t="inlineStr">
        <is>
          <t>P1</t>
        </is>
      </c>
      <c r="F82" s="3" t="inlineStr">
        <is>
          <t>5.4.2.5</t>
        </is>
      </c>
      <c r="G82" s="3" t="inlineStr">
        <is>
          <t>（见父案步骤）</t>
        </is>
      </c>
      <c r="H82" s="3" t="inlineStr">
        <is>
          <t>启动键闪亮=请求、常亮=已启动</t>
        </is>
      </c>
      <c r="I82" s="3" t="n"/>
      <c r="J82" s="2" t="inlineStr">
        <is>
          <t>待测</t>
        </is>
      </c>
      <c r="K82" s="2" t="n"/>
      <c r="L82" s="2" t="n"/>
      <c r="M82" s="3" t="n"/>
      <c r="N82" s="2" t="n"/>
    </row>
    <row r="83">
      <c r="A83" s="2" t="n">
        <v>82</v>
      </c>
      <c r="B83" s="2" t="inlineStr">
        <is>
          <t>LC-06.5</t>
        </is>
      </c>
      <c r="C83" s="3" t="inlineStr">
        <is>
          <t>报警控制(联动输出)</t>
        </is>
      </c>
      <c r="D83" s="3" t="inlineStr">
        <is>
          <t>启动/反馈灯逻辑</t>
        </is>
      </c>
      <c r="E83" s="2" t="inlineStr">
        <is>
          <t>P1</t>
        </is>
      </c>
      <c r="F83" s="3" t="inlineStr">
        <is>
          <t>5.4.2.5</t>
        </is>
      </c>
      <c r="G83" s="3" t="inlineStr">
        <is>
          <t>（见父案步骤）</t>
        </is>
      </c>
      <c r="H83" s="3" t="inlineStr">
        <is>
          <t>启动/反馈灯闪亮=输出启动、常亮=收到反馈</t>
        </is>
      </c>
      <c r="I83" s="3" t="n"/>
      <c r="J83" s="2" t="inlineStr">
        <is>
          <t>待测</t>
        </is>
      </c>
      <c r="K83" s="2" t="n"/>
      <c r="L83" s="2" t="n"/>
      <c r="M83" s="3" t="n"/>
      <c r="N83" s="2" t="n"/>
    </row>
    <row r="84">
      <c r="A84" s="2" t="n">
        <v>83</v>
      </c>
      <c r="B84" s="2" t="inlineStr">
        <is>
          <t>LC-06.6</t>
        </is>
      </c>
      <c r="C84" s="3" t="inlineStr">
        <is>
          <t>报警控制(联动输出)</t>
        </is>
      </c>
      <c r="D84" s="3" t="inlineStr">
        <is>
          <t>受控设备故障灯</t>
        </is>
      </c>
      <c r="E84" s="2" t="inlineStr">
        <is>
          <t>P1</t>
        </is>
      </c>
      <c r="F84" s="3" t="inlineStr">
        <is>
          <t>5.4.2.5</t>
        </is>
      </c>
      <c r="G84" s="3" t="inlineStr">
        <is>
          <t>（见父案步骤）</t>
        </is>
      </c>
      <c r="H84" s="3" t="inlineStr">
        <is>
          <t>受控设备故障→输出故障灯常亮</t>
        </is>
      </c>
      <c r="I84" s="3" t="n"/>
      <c r="J84" s="2" t="inlineStr">
        <is>
          <t>待测</t>
        </is>
      </c>
      <c r="K84" s="2" t="n"/>
      <c r="L84" s="2" t="n"/>
      <c r="M84" s="3" t="n"/>
      <c r="N84" s="2" t="n"/>
    </row>
    <row r="85">
      <c r="A85" s="2" t="n">
        <v>84</v>
      </c>
      <c r="B85" s="2" t="inlineStr">
        <is>
          <t>LC-06.7</t>
        </is>
      </c>
      <c r="C85" s="3" t="inlineStr">
        <is>
          <t>报警控制(联动输出)</t>
        </is>
      </c>
      <c r="D85" s="3" t="inlineStr">
        <is>
          <t>自动态输出启动</t>
        </is>
      </c>
      <c r="E85" s="2" t="inlineStr">
        <is>
          <t>P1</t>
        </is>
      </c>
      <c r="F85" s="3" t="inlineStr">
        <is>
          <t>5.4.2.5</t>
        </is>
      </c>
      <c r="G85" s="3" t="inlineStr">
        <is>
          <t>（见父案步骤）</t>
        </is>
      </c>
      <c r="H85" s="3" t="inlineStr">
        <is>
          <t>自动状态下满足逻辑的输出应能启动</t>
        </is>
      </c>
      <c r="I85" s="3" t="n"/>
      <c r="J85" s="2" t="inlineStr">
        <is>
          <t>待测</t>
        </is>
      </c>
      <c r="K85" s="2" t="n"/>
      <c r="L85" s="2" t="n"/>
      <c r="M85" s="3" t="n"/>
      <c r="N85" s="2" t="n"/>
    </row>
    <row r="86">
      <c r="A86" s="2" t="n">
        <v>85</v>
      </c>
      <c r="B86" s="2" t="inlineStr">
        <is>
          <t>LC-06.8</t>
        </is>
      </c>
      <c r="C86" s="3" t="inlineStr">
        <is>
          <t>报警控制(联动输出)</t>
        </is>
      </c>
      <c r="D86" s="3" t="inlineStr">
        <is>
          <t>自动态灯逻辑</t>
        </is>
      </c>
      <c r="E86" s="2" t="inlineStr">
        <is>
          <t>P1</t>
        </is>
      </c>
      <c r="F86" s="3" t="inlineStr">
        <is>
          <t>5.4.2.5</t>
        </is>
      </c>
      <c r="G86" s="3" t="inlineStr">
        <is>
          <t>（见父案步骤）</t>
        </is>
      </c>
      <c r="H86" s="3" t="inlineStr">
        <is>
          <t>自动状态下灯逻辑相同</t>
        </is>
      </c>
      <c r="I86" s="3" t="n"/>
      <c r="J86" s="2" t="inlineStr">
        <is>
          <t>待测</t>
        </is>
      </c>
      <c r="K86" s="2" t="n"/>
      <c r="L86" s="2" t="n"/>
      <c r="M86" s="3" t="n"/>
      <c r="N86" s="2" t="n"/>
    </row>
    <row r="87">
      <c r="A87" s="2" t="n">
        <v>86</v>
      </c>
      <c r="B87" s="2" t="inlineStr">
        <is>
          <t>LC-06.9</t>
        </is>
      </c>
      <c r="C87" s="3" t="inlineStr">
        <is>
          <t>报警控制(联动输出)</t>
        </is>
      </c>
      <c r="D87" s="3" t="inlineStr">
        <is>
          <t>启停同按互锁</t>
        </is>
      </c>
      <c r="E87" s="2" t="inlineStr">
        <is>
          <t>P1</t>
        </is>
      </c>
      <c r="F87" s="3" t="inlineStr">
        <is>
          <t>5.4.2.5</t>
        </is>
      </c>
      <c r="G87" s="3" t="inlineStr">
        <is>
          <t>（见父案步骤）</t>
        </is>
      </c>
      <c r="H87" s="3" t="inlineStr">
        <is>
          <t>启停键同时按下不启动输出</t>
        </is>
      </c>
      <c r="I87" s="3" t="n"/>
      <c r="J87" s="2" t="inlineStr">
        <is>
          <t>待测</t>
        </is>
      </c>
      <c r="K87" s="2" t="n"/>
      <c r="L87" s="2" t="n"/>
      <c r="M87" s="3" t="n"/>
      <c r="N87" s="2" t="n"/>
    </row>
    <row r="88">
      <c r="A88" s="2" t="n">
        <v>87</v>
      </c>
      <c r="B88" s="2" t="inlineStr">
        <is>
          <t>LC-06.10</t>
        </is>
      </c>
      <c r="C88" s="3" t="inlineStr">
        <is>
          <t>报警控制(联动输出)</t>
        </is>
      </c>
      <c r="D88" s="3" t="inlineStr">
        <is>
          <t>状态同步显示</t>
        </is>
      </c>
      <c r="E88" s="2" t="inlineStr">
        <is>
          <t>P1</t>
        </is>
      </c>
      <c r="F88" s="3" t="inlineStr">
        <is>
          <t>5.4.2.5</t>
        </is>
      </c>
      <c r="G88" s="3" t="inlineStr">
        <is>
          <t>（见父案步骤）</t>
        </is>
      </c>
      <c r="H88" s="3" t="inlineStr">
        <is>
          <t>受控设备状态同步上显示器</t>
        </is>
      </c>
      <c r="I88" s="3" t="n"/>
      <c r="J88" s="2" t="inlineStr">
        <is>
          <t>待测</t>
        </is>
      </c>
      <c r="K88" s="2" t="n"/>
      <c r="L88" s="2" t="n"/>
      <c r="M88" s="3" t="n"/>
      <c r="N88" s="2" t="n"/>
    </row>
    <row r="89">
      <c r="A89" s="2" t="n">
        <v>88</v>
      </c>
      <c r="B89" s="2" t="inlineStr">
        <is>
          <t>LC-06.11</t>
        </is>
      </c>
      <c r="C89" s="3" t="inlineStr">
        <is>
          <t>报警控制(联动输出)</t>
        </is>
      </c>
      <c r="D89" s="3" t="inlineStr">
        <is>
          <t>输出电气特性</t>
        </is>
      </c>
      <c r="E89" s="2" t="inlineStr">
        <is>
          <t>P1</t>
        </is>
      </c>
      <c r="F89" s="3" t="inlineStr">
        <is>
          <t>5.4.2.5</t>
        </is>
      </c>
      <c r="G89" s="3" t="inlineStr">
        <is>
          <t>（见父案步骤）</t>
        </is>
      </c>
      <c r="H89" s="3" t="inlineStr">
        <is>
          <t>有源/无源输出满足规定</t>
        </is>
      </c>
      <c r="I89" s="3" t="n"/>
      <c r="J89" s="2" t="inlineStr">
        <is>
          <t>待测</t>
        </is>
      </c>
      <c r="K89" s="2" t="n"/>
      <c r="L89" s="2" t="n"/>
      <c r="M89" s="3" t="n"/>
      <c r="N89" s="2" t="n"/>
    </row>
    <row r="90">
      <c r="A90" s="2" t="n">
        <v>89</v>
      </c>
      <c r="B90" s="2" t="inlineStr">
        <is>
          <t>LC-07</t>
        </is>
      </c>
      <c r="C90" s="3" t="inlineStr">
        <is>
          <t>报警控制(联动输出)</t>
        </is>
      </c>
      <c r="D90" s="3" t="inlineStr">
        <is>
          <t>MCU 失效直控保持</t>
        </is>
      </c>
      <c r="E90" s="2" t="inlineStr">
        <is>
          <t>P1</t>
        </is>
      </c>
      <c r="F90" s="3" t="inlineStr">
        <is>
          <t>5.4.2.5 f) ↔ 6.4.4</t>
        </is>
      </c>
      <c r="G90" s="3" t="inlineStr">
        <is>
          <t>操作模拟 MCU 失效装置后操作直控按键</t>
        </is>
      </c>
      <c r="H90" s="3" t="inlineStr">
        <is>
          <t>MCU 不能正常工作时指示灯和控制输出仍正常</t>
        </is>
      </c>
      <c r="I90" s="3" t="n"/>
      <c r="J90" s="2" t="inlineStr">
        <is>
          <t>通过</t>
        </is>
      </c>
      <c r="K90" s="2" t="n"/>
      <c r="L90" s="2" t="n"/>
      <c r="M90" s="3" t="n"/>
      <c r="N90" s="2" t="n"/>
    </row>
    <row r="91">
      <c r="A91" s="2" t="n">
        <v>90</v>
      </c>
      <c r="B91" s="2" t="inlineStr">
        <is>
          <t>LC-08</t>
        </is>
      </c>
      <c r="C91" s="3" t="inlineStr">
        <is>
          <t>报警控制(联动输出)</t>
        </is>
      </c>
      <c r="D91" s="3" t="n"/>
      <c r="E91" s="2" t="inlineStr">
        <is>
          <t>P0</t>
        </is>
      </c>
      <c r="F91" s="3" t="inlineStr">
        <is>
          <t>5.4.2.9 ↔ 6.4.8</t>
        </is>
      </c>
      <c r="G91" s="3" t="inlineStr">
        <is>
          <t>联动信号声光与反馈（总案）——发出联动控制信号；给反馈；撤销反馈</t>
        </is>
      </c>
      <c r="H91" s="3" t="inlineStr">
        <is>
          <t>见子项</t>
        </is>
      </c>
      <c r="I91" s="3" t="n"/>
      <c r="J91" s="2" t="inlineStr">
        <is>
          <t>待测</t>
        </is>
      </c>
      <c r="K91" s="2" t="n"/>
      <c r="L91" s="2" t="n"/>
      <c r="M91" s="3" t="n"/>
      <c r="N91" s="2" t="n"/>
    </row>
    <row r="92">
      <c r="A92" s="2" t="n">
        <v>91</v>
      </c>
      <c r="B92" s="2" t="inlineStr">
        <is>
          <t>LC-08.1</t>
        </is>
      </c>
      <c r="C92" s="3" t="inlineStr">
        <is>
          <t>报警控制(联动输出)</t>
        </is>
      </c>
      <c r="D92" s="3" t="inlineStr">
        <is>
          <t>联动信号声光</t>
        </is>
      </c>
      <c r="E92" s="2" t="inlineStr">
        <is>
          <t>P0</t>
        </is>
      </c>
      <c r="F92" s="3" t="inlineStr">
        <is>
          <t>5.4.2.9</t>
        </is>
      </c>
      <c r="G92" s="3" t="inlineStr">
        <is>
          <t>（见父案步骤）</t>
        </is>
      </c>
      <c r="H92" s="3" t="inlineStr">
        <is>
          <t>发出联动信号时有声光指示</t>
        </is>
      </c>
      <c r="I92" s="3" t="n"/>
      <c r="J92" s="2" t="inlineStr">
        <is>
          <t>待测</t>
        </is>
      </c>
      <c r="K92" s="2" t="n"/>
      <c r="L92" s="2" t="n"/>
      <c r="M92" s="3" t="n"/>
      <c r="N92" s="2" t="n"/>
    </row>
    <row r="93">
      <c r="A93" s="2" t="n">
        <v>92</v>
      </c>
      <c r="B93" s="2" t="inlineStr">
        <is>
          <t>LC-08.2</t>
        </is>
      </c>
      <c r="C93" s="3" t="inlineStr">
        <is>
          <t>报警控制(联动输出)</t>
        </is>
      </c>
      <c r="D93" s="3" t="inlineStr">
        <is>
          <t>联动光信号保持</t>
        </is>
      </c>
      <c r="E93" s="2" t="inlineStr">
        <is>
          <t>P0</t>
        </is>
      </c>
      <c r="F93" s="3" t="inlineStr">
        <is>
          <t>5.4.2.9</t>
        </is>
      </c>
      <c r="G93" s="3" t="inlineStr">
        <is>
          <t>（见父案步骤）</t>
        </is>
      </c>
      <c r="H93" s="3" t="inlineStr">
        <is>
          <t>光信号不被覆盖、保持至手动恢复</t>
        </is>
      </c>
      <c r="I93" s="3" t="n"/>
      <c r="J93" s="2" t="inlineStr">
        <is>
          <t>待测</t>
        </is>
      </c>
      <c r="K93" s="2" t="n"/>
      <c r="L93" s="2" t="n"/>
      <c r="M93" s="3" t="n"/>
      <c r="N93" s="2" t="n"/>
    </row>
    <row r="94">
      <c r="A94" s="2" t="n">
        <v>93</v>
      </c>
      <c r="B94" s="2" t="inlineStr">
        <is>
          <t>LC-08.3</t>
        </is>
      </c>
      <c r="C94" s="3" t="inlineStr">
        <is>
          <t>报警控制(联动输出)</t>
        </is>
      </c>
      <c r="D94" s="3" t="inlineStr">
        <is>
          <t>反馈声光时限</t>
        </is>
      </c>
      <c r="E94" s="2" t="inlineStr">
        <is>
          <t>P0</t>
        </is>
      </c>
      <c r="F94" s="3" t="inlineStr">
        <is>
          <t>5.4.2.9</t>
        </is>
      </c>
      <c r="G94" s="3" t="inlineStr">
        <is>
          <t>（见父案步骤）</t>
        </is>
      </c>
      <c r="H94" s="3" t="inlineStr">
        <is>
          <t>收到反馈 ≤10 s 发出声光</t>
        </is>
      </c>
      <c r="I94" s="3" t="n"/>
      <c r="J94" s="2" t="inlineStr">
        <is>
          <t>待测</t>
        </is>
      </c>
      <c r="K94" s="2" t="n"/>
      <c r="L94" s="2" t="n"/>
      <c r="M94" s="3" t="n"/>
      <c r="N94" s="2" t="n"/>
    </row>
    <row r="95">
      <c r="A95" s="2" t="n">
        <v>94</v>
      </c>
      <c r="B95" s="2" t="inlineStr">
        <is>
          <t>LC-08.4</t>
        </is>
      </c>
      <c r="C95" s="3" t="inlineStr">
        <is>
          <t>报警控制(联动输出)</t>
        </is>
      </c>
      <c r="D95" s="3" t="inlineStr">
        <is>
          <t>反馈声光保持</t>
        </is>
      </c>
      <c r="E95" s="2" t="inlineStr">
        <is>
          <t>P0</t>
        </is>
      </c>
      <c r="F95" s="3" t="inlineStr">
        <is>
          <t>5.4.2.9</t>
        </is>
      </c>
      <c r="G95" s="3" t="inlineStr">
        <is>
          <t>（见父案步骤）</t>
        </is>
      </c>
      <c r="H95" s="3" t="inlineStr">
        <is>
          <t>反馈声光保持至联动设备恢复</t>
        </is>
      </c>
      <c r="I95" s="3" t="n"/>
      <c r="J95" s="2" t="inlineStr">
        <is>
          <t>待测</t>
        </is>
      </c>
      <c r="K95" s="2" t="n"/>
      <c r="L95" s="2" t="n"/>
      <c r="M95" s="3" t="n"/>
      <c r="N95" s="2" t="n"/>
    </row>
    <row r="96">
      <c r="A96" s="2" t="n">
        <v>95</v>
      </c>
      <c r="B96" s="2" t="inlineStr">
        <is>
          <t>LC-09</t>
        </is>
      </c>
      <c r="C96" s="3" t="inlineStr">
        <is>
          <t>报警控制(联动输出)</t>
        </is>
      </c>
      <c r="D96" s="3" t="n"/>
      <c r="E96" s="2" t="inlineStr">
        <is>
          <t>P1</t>
        </is>
      </c>
      <c r="F96" s="3" t="inlineStr">
        <is>
          <t>5.4.2.10 ↔ 6.4.9</t>
        </is>
      </c>
      <c r="G96" s="3" t="inlineStr">
        <is>
          <t>控制输出延时（总案）——设延时→触发→延时期间手动插入/手报直接启动→观察其他输出</t>
        </is>
      </c>
      <c r="H96" s="3" t="inlineStr">
        <is>
          <t>见子项</t>
        </is>
      </c>
      <c r="I96" s="3" t="n"/>
      <c r="J96" s="2" t="inlineStr">
        <is>
          <t>不适用</t>
        </is>
      </c>
      <c r="K96" s="2" t="n"/>
      <c r="L96" s="2" t="n"/>
      <c r="M96" s="3" t="n"/>
      <c r="N96" s="2" t="n"/>
    </row>
    <row r="97">
      <c r="A97" s="2" t="n">
        <v>96</v>
      </c>
      <c r="B97" s="2" t="inlineStr">
        <is>
          <t>LC-09.1</t>
        </is>
      </c>
      <c r="C97" s="3" t="inlineStr">
        <is>
          <t>报警控制(联动输出)</t>
        </is>
      </c>
      <c r="D97" s="3" t="inlineStr">
        <is>
          <t>延时上限</t>
        </is>
      </c>
      <c r="E97" s="2" t="inlineStr">
        <is>
          <t>P1</t>
        </is>
      </c>
      <c r="F97" s="3" t="inlineStr">
        <is>
          <t>5.4.2.10 c)</t>
        </is>
      </c>
      <c r="G97" s="3" t="inlineStr">
        <is>
          <t>（见父案步骤）</t>
        </is>
      </c>
      <c r="H97" s="3" t="inlineStr">
        <is>
          <t>延时 ≤10 min</t>
        </is>
      </c>
      <c r="I97" s="3" t="n"/>
      <c r="J97" s="2" t="inlineStr">
        <is>
          <t>不适用</t>
        </is>
      </c>
      <c r="K97" s="2" t="n"/>
      <c r="L97" s="2" t="n"/>
      <c r="M97" s="3" t="n"/>
      <c r="N97" s="2" t="n"/>
    </row>
    <row r="98">
      <c r="A98" s="2" t="n">
        <v>97</v>
      </c>
      <c r="B98" s="2" t="inlineStr">
        <is>
          <t>LC-09.2</t>
        </is>
      </c>
      <c r="C98" s="3" t="inlineStr">
        <is>
          <t>报警控制(联动输出)</t>
        </is>
      </c>
      <c r="D98" s="3" t="inlineStr">
        <is>
          <t>延时步长</t>
        </is>
      </c>
      <c r="E98" s="2" t="inlineStr">
        <is>
          <t>P1</t>
        </is>
      </c>
      <c r="F98" s="3" t="inlineStr">
        <is>
          <t>5.4.2.10 c)</t>
        </is>
      </c>
      <c r="G98" s="3" t="inlineStr">
        <is>
          <t>（见父案步骤）</t>
        </is>
      </c>
      <c r="H98" s="3" t="inlineStr">
        <is>
          <t>变化步长 ≤1 min</t>
        </is>
      </c>
      <c r="I98" s="3" t="n"/>
      <c r="J98" s="2" t="inlineStr">
        <is>
          <t>不适用</t>
        </is>
      </c>
      <c r="K98" s="2" t="n"/>
      <c r="L98" s="2" t="n"/>
      <c r="M98" s="3" t="n"/>
      <c r="N98" s="2" t="n"/>
    </row>
    <row r="99">
      <c r="A99" s="2" t="n">
        <v>98</v>
      </c>
      <c r="B99" s="2" t="inlineStr">
        <is>
          <t>LC-09.3</t>
        </is>
      </c>
      <c r="C99" s="3" t="inlineStr">
        <is>
          <t>报警控制(联动输出)</t>
        </is>
      </c>
      <c r="D99" s="3" t="inlineStr">
        <is>
          <t>延时光指示</t>
        </is>
      </c>
      <c r="E99" s="2" t="inlineStr">
        <is>
          <t>P1</t>
        </is>
      </c>
      <c r="F99" s="3" t="inlineStr">
        <is>
          <t>5.4.2.10 e)</t>
        </is>
      </c>
      <c r="G99" s="3" t="inlineStr">
        <is>
          <t>（见父案步骤）</t>
        </is>
      </c>
      <c r="H99" s="3" t="inlineStr">
        <is>
          <t>延时期间有延时光指示</t>
        </is>
      </c>
      <c r="I99" s="3" t="n"/>
      <c r="J99" s="2" t="inlineStr">
        <is>
          <t>不适用</t>
        </is>
      </c>
      <c r="K99" s="2" t="n"/>
      <c r="L99" s="2" t="n"/>
      <c r="M99" s="3" t="n"/>
      <c r="N99" s="2" t="n"/>
    </row>
    <row r="100">
      <c r="A100" s="2" t="n">
        <v>99</v>
      </c>
      <c r="B100" s="2" t="inlineStr">
        <is>
          <t>LC-09.4</t>
        </is>
      </c>
      <c r="C100" s="3" t="inlineStr">
        <is>
          <t>报警控制(联动输出)</t>
        </is>
      </c>
      <c r="D100" s="3" t="inlineStr">
        <is>
          <t>手动插入/手报直启</t>
        </is>
      </c>
      <c r="E100" s="2" t="inlineStr">
        <is>
          <t>P1</t>
        </is>
      </c>
      <c r="F100" s="3" t="inlineStr">
        <is>
          <t>5.4.2.10 d)</t>
        </is>
      </c>
      <c r="G100" s="3" t="inlineStr">
        <is>
          <t>（见父案步骤）</t>
        </is>
      </c>
      <c r="H100" s="3" t="inlineStr">
        <is>
          <t>延时期间准许手动插入或手报直启</t>
        </is>
      </c>
      <c r="I100" s="3" t="n"/>
      <c r="J100" s="2" t="inlineStr">
        <is>
          <t>不适用</t>
        </is>
      </c>
      <c r="K100" s="2" t="n"/>
      <c r="L100" s="2" t="n"/>
      <c r="M100" s="3" t="n"/>
      <c r="N100" s="2" t="n"/>
    </row>
    <row r="101">
      <c r="A101" s="2" t="n">
        <v>100</v>
      </c>
      <c r="B101" s="2" t="inlineStr">
        <is>
          <t>LC-09.5</t>
        </is>
      </c>
      <c r="C101" s="3" t="inlineStr">
        <is>
          <t>报警控制(联动输出)</t>
        </is>
      </c>
      <c r="D101" s="3" t="inlineStr">
        <is>
          <t>延时互不影响</t>
        </is>
      </c>
      <c r="E101" s="2" t="inlineStr">
        <is>
          <t>P1</t>
        </is>
      </c>
      <c r="F101" s="3" t="inlineStr">
        <is>
          <t>5.4.2.10 e)</t>
        </is>
      </c>
      <c r="G101" s="3" t="inlineStr">
        <is>
          <t>（见父案步骤）</t>
        </is>
      </c>
      <c r="H101" s="3" t="inlineStr">
        <is>
          <t>任一延时不影响其他输出</t>
        </is>
      </c>
      <c r="I101" s="3" t="n"/>
      <c r="J101" s="2" t="inlineStr">
        <is>
          <t>不适用</t>
        </is>
      </c>
      <c r="K101" s="2" t="n"/>
      <c r="L101" s="2" t="n"/>
      <c r="M101" s="3" t="n"/>
      <c r="N101" s="2" t="n"/>
    </row>
    <row r="102">
      <c r="A102" s="2" t="n">
        <v>101</v>
      </c>
      <c r="B102" s="2" t="inlineStr">
        <is>
          <t>LC-10</t>
        </is>
      </c>
      <c r="C102" s="3" t="inlineStr">
        <is>
          <t>报警控制(联动输出)</t>
        </is>
      </c>
      <c r="D102" s="3" t="n"/>
      <c r="E102" s="2" t="inlineStr">
        <is>
          <t>可选</t>
        </is>
      </c>
      <c r="F102" s="3" t="inlineStr">
        <is>
          <t>5.4.2.11 ↔ 6.4.10</t>
        </is>
      </c>
      <c r="G102" s="3" t="inlineStr">
        <is>
          <t>多信号确认输出（总案）——配置需多个火警信号才输出的逻辑，只给第一个信号。与 FA-08 的预确认态相反：那边整包不开，这边只扣输出一项</t>
        </is>
      </c>
      <c r="H102" s="3" t="inlineStr">
        <is>
          <t>见子项</t>
        </is>
      </c>
      <c r="I102" s="3" t="n"/>
      <c r="J102" s="2" t="inlineStr">
        <is>
          <t>不适用</t>
        </is>
      </c>
      <c r="K102" s="2" t="n"/>
      <c r="L102" s="2" t="inlineStr">
        <is>
          <t>2026-08-19</t>
        </is>
      </c>
      <c r="M102" s="3" t="inlineStr">
        <is>
          <t>产品决策2026-08-19：不做二次确认/多信号确认，首信号直接报警——可选条款（准许设有）未实现＝合规，判不适用；若未来实现该功能需恢复测试</t>
        </is>
      </c>
      <c r="N102" s="2" t="n"/>
    </row>
    <row r="103">
      <c r="A103" s="2" t="n">
        <v>102</v>
      </c>
      <c r="B103" s="2" t="inlineStr">
        <is>
          <t>LC-10.1</t>
        </is>
      </c>
      <c r="C103" s="3" t="inlineStr">
        <is>
          <t>报警控制(联动输出)</t>
        </is>
      </c>
      <c r="D103" s="3" t="inlineStr">
        <is>
          <t>第一信号·总灯</t>
        </is>
      </c>
      <c r="E103" s="2" t="inlineStr">
        <is>
          <t>可选</t>
        </is>
      </c>
      <c r="F103" s="3" t="inlineStr">
        <is>
          <t>5.4.2.11/§0.2 ①</t>
        </is>
      </c>
      <c r="G103" s="3" t="inlineStr">
        <is>
          <t>（见父案步骤）</t>
        </is>
      </c>
      <c r="H103" s="3" t="inlineStr">
        <is>
          <t>收到第一个信号即进入火警状态：火警总灯亮</t>
        </is>
      </c>
      <c r="I103" s="3" t="n"/>
      <c r="J103" s="2" t="inlineStr">
        <is>
          <t>不适用</t>
        </is>
      </c>
      <c r="K103" s="2" t="n"/>
      <c r="L103" s="2" t="inlineStr">
        <is>
          <t>2026-08-19</t>
        </is>
      </c>
      <c r="M103" s="3" t="inlineStr">
        <is>
          <t>同父案：产品决策不做二次/多信号确认，判不适用</t>
        </is>
      </c>
      <c r="N103" s="2" t="n"/>
    </row>
    <row r="104">
      <c r="A104" s="2" t="n">
        <v>103</v>
      </c>
      <c r="B104" s="2" t="inlineStr">
        <is>
          <t>LC-10.2</t>
        </is>
      </c>
      <c r="C104" s="3" t="inlineStr">
        <is>
          <t>报警控制(联动输出)</t>
        </is>
      </c>
      <c r="D104" s="3" t="inlineStr">
        <is>
          <t>第一信号·火警声</t>
        </is>
      </c>
      <c r="E104" s="2" t="inlineStr">
        <is>
          <t>可选</t>
        </is>
      </c>
      <c r="F104" s="3" t="inlineStr">
        <is>
          <t>5.4.2.11/§0.2 ②</t>
        </is>
      </c>
      <c r="G104" s="3" t="inlineStr">
        <is>
          <t>（见父案步骤）</t>
        </is>
      </c>
      <c r="H104" s="3" t="inlineStr">
        <is>
          <t>火警声成立</t>
        </is>
      </c>
      <c r="I104" s="3" t="n"/>
      <c r="J104" s="2" t="inlineStr">
        <is>
          <t>不适用</t>
        </is>
      </c>
      <c r="K104" s="2" t="n"/>
      <c r="L104" s="2" t="inlineStr">
        <is>
          <t>2026-08-19</t>
        </is>
      </c>
      <c r="M104" s="3" t="inlineStr">
        <is>
          <t>同父案：产品决策不做二次/多信号确认，判不适用</t>
        </is>
      </c>
      <c r="N104" s="2" t="n"/>
    </row>
    <row r="105">
      <c r="A105" s="2" t="n">
        <v>104</v>
      </c>
      <c r="B105" s="2" t="inlineStr">
        <is>
          <t>LC-10.3</t>
        </is>
      </c>
      <c r="C105" s="3" t="inlineStr">
        <is>
          <t>报警控制(联动输出)</t>
        </is>
      </c>
      <c r="D105" s="3" t="inlineStr">
        <is>
          <t>第一信号·记录</t>
        </is>
      </c>
      <c r="E105" s="2" t="inlineStr">
        <is>
          <t>可选</t>
        </is>
      </c>
      <c r="F105" s="3" t="inlineStr">
        <is>
          <t>5.4.2.11/§0.2 ③</t>
        </is>
      </c>
      <c r="G105" s="3" t="inlineStr">
        <is>
          <t>（见父案步骤）</t>
        </is>
      </c>
      <c r="H105" s="3" t="inlineStr">
        <is>
          <t>部位显示与记录成立</t>
        </is>
      </c>
      <c r="I105" s="3" t="n"/>
      <c r="J105" s="2" t="inlineStr">
        <is>
          <t>不适用</t>
        </is>
      </c>
      <c r="K105" s="2" t="n"/>
      <c r="L105" s="2" t="inlineStr">
        <is>
          <t>2026-08-19</t>
        </is>
      </c>
      <c r="M105" s="3" t="inlineStr">
        <is>
          <t>同父案：产品决策不做二次/多信号确认，判不适用</t>
        </is>
      </c>
      <c r="N105" s="2" t="n"/>
    </row>
    <row r="106">
      <c r="A106" s="2" t="n">
        <v>105</v>
      </c>
      <c r="B106" s="2" t="inlineStr">
        <is>
          <t>LC-10.4</t>
        </is>
      </c>
      <c r="C106" s="3" t="inlineStr">
        <is>
          <t>报警控制(联动输出)</t>
        </is>
      </c>
      <c r="D106" s="3" t="inlineStr">
        <is>
          <t>第一信号·上报</t>
        </is>
      </c>
      <c r="E106" s="2" t="inlineStr">
        <is>
          <t>可选</t>
        </is>
      </c>
      <c r="F106" s="3" t="inlineStr">
        <is>
          <t>5.4.2.11/§0.2 ⑤</t>
        </is>
      </c>
      <c r="G106" s="3" t="inlineStr">
        <is>
          <t>（见父案步骤）</t>
        </is>
      </c>
      <c r="H106" s="3" t="inlineStr">
        <is>
          <t>按火警上报成立</t>
        </is>
      </c>
      <c r="I106" s="3" t="n"/>
      <c r="J106" s="2" t="inlineStr">
        <is>
          <t>不适用</t>
        </is>
      </c>
      <c r="K106" s="2" t="n"/>
      <c r="L106" s="2" t="inlineStr">
        <is>
          <t>2026-08-19</t>
        </is>
      </c>
      <c r="M106" s="3" t="inlineStr">
        <is>
          <t>同父案：产品决策不做二次/多信号确认，判不适用</t>
        </is>
      </c>
      <c r="N106" s="2" t="n"/>
    </row>
    <row r="107">
      <c r="A107" s="2" t="n">
        <v>106</v>
      </c>
      <c r="B107" s="2" t="inlineStr">
        <is>
          <t>LC-10.5</t>
        </is>
      </c>
      <c r="C107" s="3" t="inlineStr">
        <is>
          <t>报警控制(联动输出)</t>
        </is>
      </c>
      <c r="D107" s="3" t="inlineStr">
        <is>
          <t>唯独输出不启动</t>
        </is>
      </c>
      <c r="E107" s="2" t="inlineStr">
        <is>
          <t>可选</t>
        </is>
      </c>
      <c r="F107" s="3" t="inlineStr">
        <is>
          <t>5.4.2.11</t>
        </is>
      </c>
      <c r="G107" s="3" t="inlineStr">
        <is>
          <t>（见父案步骤）</t>
        </is>
      </c>
      <c r="H107" s="3" t="inlineStr">
        <is>
          <t>唯独输出不启动</t>
        </is>
      </c>
      <c r="I107" s="3" t="n"/>
      <c r="J107" s="2" t="inlineStr">
        <is>
          <t>不适用</t>
        </is>
      </c>
      <c r="K107" s="2" t="n"/>
      <c r="L107" s="2" t="inlineStr">
        <is>
          <t>2026-08-19</t>
        </is>
      </c>
      <c r="M107" s="3" t="inlineStr">
        <is>
          <t>同父案：产品决策不做二次/多信号确认，判不适用</t>
        </is>
      </c>
      <c r="N107" s="2" t="n"/>
    </row>
    <row r="108">
      <c r="A108" s="2" t="n">
        <v>107</v>
      </c>
      <c r="B108" s="2" t="inlineStr">
        <is>
          <t>LC-10.6</t>
        </is>
      </c>
      <c r="C108" s="3" t="inlineStr">
        <is>
          <t>报警控制(联动输出)</t>
        </is>
      </c>
      <c r="D108" s="3" t="inlineStr">
        <is>
          <t>后续到齐才输出</t>
        </is>
      </c>
      <c r="E108" s="2" t="inlineStr">
        <is>
          <t>可选</t>
        </is>
      </c>
      <c r="F108" s="3" t="inlineStr">
        <is>
          <t>5.4.2.11</t>
        </is>
      </c>
      <c r="G108" s="3" t="inlineStr">
        <is>
          <t>（见父案步骤）</t>
        </is>
      </c>
      <c r="H108" s="3" t="inlineStr">
        <is>
          <t>后续信号到齐才启动输出</t>
        </is>
      </c>
      <c r="I108" s="3" t="n"/>
      <c r="J108" s="2" t="inlineStr">
        <is>
          <t>不适用</t>
        </is>
      </c>
      <c r="K108" s="2" t="n"/>
      <c r="L108" s="2" t="inlineStr">
        <is>
          <t>2026-08-19</t>
        </is>
      </c>
      <c r="M108" s="3" t="inlineStr">
        <is>
          <t>同父案：产品决策不做二次/多信号确认，判不适用</t>
        </is>
      </c>
      <c r="N108" s="2" t="n"/>
    </row>
    <row r="109">
      <c r="A109" s="2" t="n">
        <v>108</v>
      </c>
      <c r="B109" s="2" t="inlineStr">
        <is>
          <t>LC-11</t>
        </is>
      </c>
      <c r="C109" s="3" t="inlineStr">
        <is>
          <t>报警控制(联动输出)</t>
        </is>
      </c>
      <c r="D109" s="3" t="n"/>
      <c r="E109" s="2" t="inlineStr">
        <is>
          <t>P1</t>
        </is>
      </c>
      <c r="F109" s="3" t="inlineStr">
        <is>
          <t>5.4.2.7 ↔ 6.4.7</t>
        </is>
      </c>
      <c r="G109" s="3" t="inlineStr">
        <is>
          <t>警报器控制按钮（总案）——① 手动消除、再手动启动火灾声光警报器；② 消音后使相应探测器发出新火警，记录声警报启动情况（6.4.7 后半）</t>
        </is>
      </c>
      <c r="H109" s="3" t="inlineStr">
        <is>
          <t>见子项</t>
        </is>
      </c>
      <c r="I109" s="3" t="n"/>
      <c r="J109" s="2" t="inlineStr">
        <is>
          <t>通过</t>
        </is>
      </c>
      <c r="K109" s="2" t="n"/>
      <c r="L109" s="2" t="n"/>
      <c r="M109" s="3" t="n"/>
      <c r="N109" s="2" t="n"/>
    </row>
    <row r="110">
      <c r="A110" s="2" t="n">
        <v>109</v>
      </c>
      <c r="B110" s="2" t="inlineStr">
        <is>
          <t>LC-11.1</t>
        </is>
      </c>
      <c r="C110" s="3" t="inlineStr">
        <is>
          <t>报警控制(联动输出)</t>
        </is>
      </c>
      <c r="D110" s="3" t="inlineStr">
        <is>
          <t>按钮与指示灯</t>
        </is>
      </c>
      <c r="E110" s="2" t="inlineStr">
        <is>
          <t>P1</t>
        </is>
      </c>
      <c r="F110" s="3" t="inlineStr">
        <is>
          <t>5.4.2.7</t>
        </is>
      </c>
      <c r="G110" s="3" t="inlineStr">
        <is>
          <t>（见父案步骤）</t>
        </is>
      </c>
      <c r="H110" s="3" t="inlineStr">
        <is>
          <t>独立按钮+启动状态指示灯</t>
        </is>
      </c>
      <c r="I110" s="3" t="n"/>
      <c r="J110" s="2" t="inlineStr">
        <is>
          <t>通过</t>
        </is>
      </c>
      <c r="K110" s="2" t="n"/>
      <c r="L110" s="2" t="n"/>
      <c r="M110" s="3" t="n"/>
      <c r="N110" s="2" t="n"/>
    </row>
    <row r="111">
      <c r="A111" s="2" t="n">
        <v>110</v>
      </c>
      <c r="B111" s="2" t="inlineStr">
        <is>
          <t>LC-11.2</t>
        </is>
      </c>
      <c r="C111" s="3" t="inlineStr">
        <is>
          <t>报警控制(联动输出)</t>
        </is>
      </c>
      <c r="D111" s="3" t="inlineStr">
        <is>
          <t>手动消除</t>
        </is>
      </c>
      <c r="E111" s="2" t="inlineStr">
        <is>
          <t>P1</t>
        </is>
      </c>
      <c r="F111" s="3" t="inlineStr">
        <is>
          <t>5.4.2.7</t>
        </is>
      </c>
      <c r="G111" s="3" t="inlineStr">
        <is>
          <t>（见父案步骤）</t>
        </is>
      </c>
      <c r="H111" s="3" t="inlineStr">
        <is>
          <t>可手动消除火灾声光警报器并指示状态</t>
        </is>
      </c>
      <c r="I111" s="3" t="n"/>
      <c r="J111" s="2" t="inlineStr">
        <is>
          <t>通过</t>
        </is>
      </c>
      <c r="K111" s="2" t="n"/>
      <c r="L111" s="2" t="n"/>
      <c r="M111" s="3" t="n"/>
      <c r="N111" s="2" t="n"/>
    </row>
    <row r="112">
      <c r="A112" s="2" t="n">
        <v>111</v>
      </c>
      <c r="B112" s="2" t="inlineStr">
        <is>
          <t>LC-11.3</t>
        </is>
      </c>
      <c r="C112" s="3" t="inlineStr">
        <is>
          <t>报警控制(联动输出)</t>
        </is>
      </c>
      <c r="D112" s="3" t="inlineStr">
        <is>
          <t>手动启动</t>
        </is>
      </c>
      <c r="E112" s="2" t="inlineStr">
        <is>
          <t>P1</t>
        </is>
      </c>
      <c r="F112" s="3" t="inlineStr">
        <is>
          <t>5.4.2.7</t>
        </is>
      </c>
      <c r="G112" s="3" t="inlineStr">
        <is>
          <t>（见父案步骤）</t>
        </is>
      </c>
      <c r="H112" s="3" t="inlineStr">
        <is>
          <t>可手动启动火灾声光警报器并指示状态</t>
        </is>
      </c>
      <c r="I112" s="3" t="n"/>
      <c r="J112" s="2" t="inlineStr">
        <is>
          <t>通过</t>
        </is>
      </c>
      <c r="K112" s="2" t="n"/>
      <c r="L112" s="2" t="n"/>
      <c r="M112" s="3" t="n"/>
      <c r="N112" s="2" t="n"/>
    </row>
    <row r="113">
      <c r="A113" s="2" t="n">
        <v>112</v>
      </c>
      <c r="B113" s="2" t="inlineStr">
        <is>
          <t>LC-11.4</t>
        </is>
      </c>
      <c r="C113" s="3" t="inlineStr">
        <is>
          <t>报警控制(联动输出)</t>
        </is>
      </c>
      <c r="D113" s="3" t="inlineStr">
        <is>
          <t>消音后新火警再响</t>
        </is>
      </c>
      <c r="E113" s="2" t="inlineStr">
        <is>
          <t>P1</t>
        </is>
      </c>
      <c r="F113" s="3" t="inlineStr">
        <is>
          <t>5.4.2.7 ↔ 6.4.7</t>
        </is>
      </c>
      <c r="G113" s="3" t="inlineStr">
        <is>
          <t>（见父案步骤）</t>
        </is>
      </c>
      <c r="H113" s="3" t="inlineStr">
        <is>
          <t>消音后新火警输入 → 声警报信号重新启动（警报器侧的"消音再响"，与本机蜂鸣器 FA-06 同构）</t>
        </is>
      </c>
      <c r="I113" s="3" t="n"/>
      <c r="J113" s="2" t="inlineStr">
        <is>
          <t>通过</t>
        </is>
      </c>
      <c r="K113" s="2" t="n"/>
      <c r="L113" s="2" t="inlineStr">
        <is>
          <t>2026-08-19</t>
        </is>
      </c>
      <c r="M113" s="3" t="inlineStr">
        <is>
          <t>待条件：需第2报警信号源（必做项，补第2只烟感/手报后测）</t>
        </is>
      </c>
      <c r="N113" s="2" t="n"/>
    </row>
    <row r="114">
      <c r="A114" s="2" t="n">
        <v>113</v>
      </c>
      <c r="B114" s="2" t="inlineStr">
        <is>
          <t>LC-12</t>
        </is>
      </c>
      <c r="C114" s="3" t="inlineStr">
        <is>
          <t>报警控制(联动输出)</t>
        </is>
      </c>
      <c r="D114" s="3" t="inlineStr">
        <is>
          <t>火灾报警信息传输功能（功能级，暂不展开）</t>
        </is>
      </c>
      <c r="E114" s="2" t="inlineStr">
        <is>
          <t>P1（待细化）</t>
        </is>
      </c>
      <c r="F114" s="3" t="inlineStr">
        <is>
          <t>5.4.2.8 ↔ 6.4.6</t>
        </is>
      </c>
      <c r="G114" s="3" t="inlineStr">
        <is>
          <t>占位条目：仅适用于具有传输火警信息功能的机型。功能要求：设独立的发送信息、接收信息两个指示灯；灯语言为"闪亮＝进行中、常亮＝已完成、保持至复位"。待传输功能方案确定后再细化</t>
        </is>
      </c>
      <c r="H114" s="3" t="inlineStr">
        <is>
          <t>功能存在时须满足 5.4.2.8 全部灯态要求；细化时至少覆盖：发送闪→常亮、接收闪→常亮、复位熄灭、对端不回确认时接收灯不亮（反面场景）</t>
        </is>
      </c>
      <c r="I114" s="3" t="n"/>
      <c r="J114" s="2" t="inlineStr">
        <is>
          <t>不适用</t>
        </is>
      </c>
      <c r="K114" s="2" t="n"/>
      <c r="L114" s="2" t="inlineStr">
        <is>
          <t>2026-08-19</t>
        </is>
      </c>
      <c r="M114" s="3" t="inlineStr">
        <is>
          <t>待条件：需火警信息传输装置；不具传输功能则改判不适用</t>
        </is>
      </c>
      <c r="N114" s="2" t="n"/>
    </row>
    <row r="115">
      <c r="A115" s="2" t="n">
        <v>114</v>
      </c>
      <c r="B115" s="2" t="inlineStr">
        <is>
          <t>LC-13</t>
        </is>
      </c>
      <c r="C115" s="3" t="inlineStr">
        <is>
          <t>报警控制(联动输出)</t>
        </is>
      </c>
      <c r="D115" s="3" t="n"/>
      <c r="E115" s="2" t="inlineStr">
        <is>
          <t>P1</t>
        </is>
      </c>
      <c r="F115" s="3" t="inlineStr">
        <is>
          <t>5.4.2.14 ↔ 6.4.12</t>
        </is>
      </c>
      <c r="G115" s="3" t="inlineStr">
        <is>
          <t>联动信息下发（总案）——（具联动控制功能时）触发火警</t>
        </is>
      </c>
      <c r="H115" s="3" t="inlineStr">
        <is>
          <t>见子项</t>
        </is>
      </c>
      <c r="I115" s="3" t="n"/>
      <c r="J115" s="2" t="inlineStr">
        <is>
          <t>不适用</t>
        </is>
      </c>
      <c r="K115" s="2" t="n"/>
      <c r="L115" s="2" t="n"/>
      <c r="M115" s="3" t="n"/>
      <c r="N115" s="2" t="n"/>
    </row>
    <row r="116">
      <c r="A116" s="2" t="n">
        <v>115</v>
      </c>
      <c r="B116" s="2" t="inlineStr">
        <is>
          <t>LC-13.1</t>
        </is>
      </c>
      <c r="C116" s="3" t="inlineStr">
        <is>
          <t>报警控制(联动输出)</t>
        </is>
      </c>
      <c r="D116" s="3" t="inlineStr">
        <is>
          <t>本机指示</t>
        </is>
      </c>
      <c r="E116" s="2" t="inlineStr">
        <is>
          <t>P1</t>
        </is>
      </c>
      <c r="F116" s="3" t="inlineStr">
        <is>
          <t>5.4.2.14</t>
        </is>
      </c>
      <c r="G116" s="3" t="inlineStr">
        <is>
          <t>（见父案步骤）</t>
        </is>
      </c>
      <c r="H116" s="3" t="inlineStr">
        <is>
          <t>指示火灾部位和时间</t>
        </is>
      </c>
      <c r="I116" s="3" t="n"/>
      <c r="J116" s="2" t="inlineStr">
        <is>
          <t>不适用</t>
        </is>
      </c>
      <c r="K116" s="2" t="n"/>
      <c r="L116" s="2" t="n"/>
      <c r="M116" s="3" t="n"/>
      <c r="N116" s="2" t="n"/>
    </row>
    <row r="117">
      <c r="A117" s="2" t="n">
        <v>116</v>
      </c>
      <c r="B117" s="2" t="inlineStr">
        <is>
          <t>LC-13.2</t>
        </is>
      </c>
      <c r="C117" s="3" t="inlineStr">
        <is>
          <t>报警控制(联动输出)</t>
        </is>
      </c>
      <c r="D117" s="3" t="inlineStr">
        <is>
          <t>下发电气装置</t>
        </is>
      </c>
      <c r="E117" s="2" t="inlineStr">
        <is>
          <t>P1</t>
        </is>
      </c>
      <c r="F117" s="3" t="inlineStr">
        <is>
          <t>5.4.2.14</t>
        </is>
      </c>
      <c r="G117" s="3" t="inlineStr">
        <is>
          <t>（见父案步骤）</t>
        </is>
      </c>
      <c r="H117" s="3" t="inlineStr">
        <is>
          <t>将火警部位信息发送给消防电气控制装置</t>
        </is>
      </c>
      <c r="I117" s="3" t="n"/>
      <c r="J117" s="2" t="inlineStr">
        <is>
          <t>不适用</t>
        </is>
      </c>
      <c r="K117" s="2" t="n"/>
      <c r="L117" s="2" t="inlineStr">
        <is>
          <t>2026-08-19</t>
        </is>
      </c>
      <c r="M117" s="3" t="inlineStr">
        <is>
          <t>待条件：需消防电气控制装置对端（FECbus）；⚠️标通过与待条件（需FECbus对端）矛盾，请复核</t>
        </is>
      </c>
      <c r="N117" s="2" t="n"/>
    </row>
    <row r="118">
      <c r="A118" s="2" t="n">
        <v>117</v>
      </c>
      <c r="B118" s="2" t="inlineStr">
        <is>
          <t>LC-14</t>
        </is>
      </c>
      <c r="C118" s="3" t="inlineStr">
        <is>
          <t>报警控制(联动输出)</t>
        </is>
      </c>
      <c r="D118" s="3" t="n"/>
      <c r="E118" s="2" t="inlineStr">
        <is>
          <t>可选</t>
        </is>
      </c>
      <c r="F118" s="3" t="inlineStr">
        <is>
          <t>5.4.2.11</t>
        </is>
      </c>
      <c r="G118" s="3" t="inlineStr">
        <is>
          <t>输出禁止/隔离手段（总案）——可选功能（标准措辞"准许设有"）。不实现则本条不适用、完全合规；若实现（建议做成菜单"输出隔离"）须测 ①～④</t>
        </is>
      </c>
      <c r="H118" s="3" t="inlineStr">
        <is>
          <t>见子项</t>
        </is>
      </c>
      <c r="I118" s="3" t="n"/>
      <c r="J118" s="2" t="inlineStr">
        <is>
          <t>不适用</t>
        </is>
      </c>
      <c r="K118" s="2" t="n"/>
      <c r="L118" s="2" t="n"/>
      <c r="M118" s="3" t="n"/>
      <c r="N118" s="2" t="n"/>
    </row>
    <row r="119">
      <c r="A119" s="2" t="n">
        <v>118</v>
      </c>
      <c r="B119" s="2" t="inlineStr">
        <is>
          <t>LC-14.1</t>
        </is>
      </c>
      <c r="C119" s="3" t="inlineStr">
        <is>
          <t>报警控制(联动输出)</t>
        </is>
      </c>
      <c r="D119" s="3" t="inlineStr">
        <is>
          <t>三类可分别禁止</t>
        </is>
      </c>
      <c r="E119" s="2" t="inlineStr">
        <is>
          <t>可选</t>
        </is>
      </c>
      <c r="F119" s="3" t="inlineStr">
        <is>
          <t>5.4.2.11</t>
        </is>
      </c>
      <c r="G119" s="3" t="inlineStr">
        <is>
          <t>（见父案步骤）</t>
        </is>
      </c>
      <c r="H119" s="3" t="inlineStr">
        <is>
          <t>① 可分别禁止警报器/传输设备/联动设备三类输出</t>
        </is>
      </c>
      <c r="I119" s="3" t="n"/>
      <c r="J119" s="2" t="inlineStr">
        <is>
          <t>不适用</t>
        </is>
      </c>
      <c r="K119" s="2" t="n"/>
      <c r="L119" s="2" t="n"/>
      <c r="M119" s="3" t="n"/>
      <c r="N119" s="2" t="n"/>
    </row>
    <row r="120">
      <c r="A120" s="2" t="n">
        <v>119</v>
      </c>
      <c r="B120" s="2" t="inlineStr">
        <is>
          <t>LC-14.2</t>
        </is>
      </c>
      <c r="C120" s="3" t="inlineStr">
        <is>
          <t>报警控制(联动输出)</t>
        </is>
      </c>
      <c r="D120" s="3" t="inlineStr">
        <is>
          <t>禁止相互独立</t>
        </is>
      </c>
      <c r="E120" s="2" t="inlineStr">
        <is>
          <t>可选</t>
        </is>
      </c>
      <c r="F120" s="3" t="inlineStr">
        <is>
          <t>5.4.2.11</t>
        </is>
      </c>
      <c r="G120" s="3" t="inlineStr">
        <is>
          <t>（见父案步骤）</t>
        </is>
      </c>
      <c r="H120" s="3" t="inlineStr">
        <is>
          <t>② 禁止某一类不影响其他类输出（三类禁止相互独立）</t>
        </is>
      </c>
      <c r="I120" s="3" t="n"/>
      <c r="J120" s="2" t="inlineStr">
        <is>
          <t>不适用</t>
        </is>
      </c>
      <c r="K120" s="2" t="n"/>
      <c r="L120" s="2" t="n"/>
      <c r="M120" s="3" t="n"/>
      <c r="N120" s="2" t="n"/>
    </row>
    <row r="121">
      <c r="A121" s="2" t="n">
        <v>120</v>
      </c>
      <c r="B121" s="2" t="inlineStr">
        <is>
          <t>LC-14.3</t>
        </is>
      </c>
      <c r="C121" s="3" t="inlineStr">
        <is>
          <t>报警控制(联动输出)</t>
        </is>
      </c>
      <c r="D121" s="3" t="inlineStr">
        <is>
          <t>禁止状态可见持久</t>
        </is>
      </c>
      <c r="E121" s="2" t="inlineStr">
        <is>
          <t>可选</t>
        </is>
      </c>
      <c r="F121" s="3" t="inlineStr">
        <is>
          <t>5.4.2.11</t>
        </is>
      </c>
      <c r="G121" s="3" t="inlineStr">
        <is>
          <t>（见父案步骤）</t>
        </is>
      </c>
      <c r="H121" s="3" t="inlineStr">
        <is>
          <t>③ 禁止状态可见（建议并入屏蔽类显示）且不被复位清除</t>
        </is>
      </c>
      <c r="I121" s="3" t="n"/>
      <c r="J121" s="2" t="inlineStr">
        <is>
          <t>不适用</t>
        </is>
      </c>
      <c r="K121" s="2" t="n"/>
      <c r="L121" s="2" t="n"/>
      <c r="M121" s="3" t="n"/>
      <c r="N121" s="2" t="n"/>
    </row>
    <row r="122">
      <c r="A122" s="2" t="n">
        <v>121</v>
      </c>
      <c r="B122" s="2" t="inlineStr">
        <is>
          <t>LC-14.4</t>
        </is>
      </c>
      <c r="C122" s="3" t="inlineStr">
        <is>
          <t>报警控制(联动输出)</t>
        </is>
      </c>
      <c r="D122" s="3" t="inlineStr">
        <is>
          <t>操作受级别控制</t>
        </is>
      </c>
      <c r="E122" s="2" t="inlineStr">
        <is>
          <t>可选</t>
        </is>
      </c>
      <c r="F122" s="3" t="inlineStr">
        <is>
          <t>5.4.2.11</t>
        </is>
      </c>
      <c r="G122" s="3" t="inlineStr">
        <is>
          <t>（见父案步骤）</t>
        </is>
      </c>
      <c r="H122" s="3" t="inlineStr">
        <is>
          <t>④ 操作受级别控制（建议 Ⅱ 级）</t>
        </is>
      </c>
      <c r="I122" s="3" t="n"/>
      <c r="J122" s="2" t="inlineStr">
        <is>
          <t>不适用</t>
        </is>
      </c>
      <c r="K122" s="2" t="n"/>
      <c r="L122" s="2" t="n"/>
      <c r="M122" s="3" t="n"/>
      <c r="N122" s="2" t="n"/>
    </row>
    <row r="123">
      <c r="A123" s="2" t="n">
        <v>122</v>
      </c>
      <c r="B123" s="2" t="inlineStr">
        <is>
          <t>LC-14.5</t>
        </is>
      </c>
      <c r="C123" s="3" t="inlineStr">
        <is>
          <t>报警控制(联动输出)</t>
        </is>
      </c>
      <c r="D123" s="3" t="inlineStr">
        <is>
          <t>报警显示照常</t>
        </is>
      </c>
      <c r="E123" s="2" t="inlineStr">
        <is>
          <t>可选</t>
        </is>
      </c>
      <c r="F123" s="3" t="inlineStr">
        <is>
          <t>5.4.2.11</t>
        </is>
      </c>
      <c r="G123" s="3" t="inlineStr">
        <is>
          <t>（见父案步骤）</t>
        </is>
      </c>
      <c r="H123" s="3" t="inlineStr">
        <is>
          <t>禁止期间火警报警与显示功能照常</t>
        </is>
      </c>
      <c r="I123" s="3" t="n"/>
      <c r="J123" s="2" t="inlineStr">
        <is>
          <t>不适用</t>
        </is>
      </c>
      <c r="K123" s="2" t="n"/>
      <c r="L123" s="2" t="n"/>
      <c r="M123" s="3" t="n"/>
      <c r="N123" s="2" t="n"/>
    </row>
    <row r="124">
      <c r="A124" s="2" t="n">
        <v>123</v>
      </c>
      <c r="B124" s="2" t="inlineStr">
        <is>
          <t>FT-01</t>
        </is>
      </c>
      <c r="C124" s="3" t="inlineStr">
        <is>
          <t>故障报警</t>
        </is>
      </c>
      <c r="D124" s="3" t="inlineStr">
        <is>
          <t>回路断路/短路/接地/探头拔出（总案）——分别制造回路断路、短路、影响功能的接地；另拧下一只探头（保留底座）</t>
        </is>
      </c>
      <c r="E124" s="2" t="inlineStr">
        <is>
          <t>P0</t>
        </is>
      </c>
      <c r="F124" s="3" t="inlineStr">
        <is>
          <t>5.4.3.2/5.4.3.3 a)/5.4.3.10</t>
        </is>
      </c>
      <c r="G124" s="3" t="inlineStr">
        <is>
          <t>"探头与底座间连接断路"即防拆检测（5.4.3.3 a) 尾句）；计时起点＝故障物理发生那一刻（决定巡检周期×确认轮数的预算）</t>
        </is>
      </c>
      <c r="H124" s="3" t="inlineStr">
        <is>
          <t>见子项</t>
        </is>
      </c>
      <c r="I124" s="3" t="n"/>
      <c r="J124" s="2" t="inlineStr">
        <is>
          <t>通过</t>
        </is>
      </c>
      <c r="K124" s="2" t="n"/>
      <c r="L124" s="2" t="n"/>
      <c r="M124" s="3" t="inlineStr">
        <is>
          <t>子项两层：.1～.4＝行为包（已测通过）；.5～.9＝五种故障制造手法——短路/接地/探头若整案时已做请勾回通过</t>
        </is>
      </c>
      <c r="N124" s="2" t="n"/>
    </row>
    <row r="125">
      <c r="A125" s="2" t="n">
        <v>124</v>
      </c>
      <c r="B125" s="2" t="inlineStr">
        <is>
          <t>FT-01.1</t>
        </is>
      </c>
      <c r="C125" s="3" t="inlineStr">
        <is>
          <t>故障报警</t>
        </is>
      </c>
      <c r="D125" s="3" t="inlineStr">
        <is>
          <t>故障声光时限</t>
        </is>
      </c>
      <c r="E125" s="2" t="inlineStr">
        <is>
          <t>P0</t>
        </is>
      </c>
      <c r="F125" s="3" t="inlineStr">
        <is>
          <t>5.4.3.2</t>
        </is>
      </c>
      <c r="G125" s="3" t="inlineStr">
        <is>
          <t>（见父案步骤）</t>
        </is>
      </c>
      <c r="H125" s="3" t="inlineStr">
        <is>
          <t>≤100 s 发出与火警有明显区别的故障声光</t>
        </is>
      </c>
      <c r="I125" s="4" t="inlineStr">
        <is>
          <t>（未填写原因，需补）</t>
        </is>
      </c>
      <c r="J125" s="5" t="inlineStr">
        <is>
          <t>通过</t>
        </is>
      </c>
      <c r="K125" s="2" t="n"/>
      <c r="L125" s="2" t="n"/>
      <c r="M125" s="3" t="n"/>
      <c r="N125" s="2" t="n"/>
    </row>
    <row r="126">
      <c r="A126" s="2" t="n">
        <v>125</v>
      </c>
      <c r="B126" s="2" t="inlineStr">
        <is>
          <t>FT-01.2</t>
        </is>
      </c>
      <c r="C126" s="3" t="inlineStr">
        <is>
          <t>故障报警</t>
        </is>
      </c>
      <c r="D126" s="3" t="inlineStr">
        <is>
          <t>故障总灯</t>
        </is>
      </c>
      <c r="E126" s="2" t="inlineStr">
        <is>
          <t>P0</t>
        </is>
      </c>
      <c r="F126" s="3" t="inlineStr">
        <is>
          <t>5.4.3.1</t>
        </is>
      </c>
      <c r="G126" s="3" t="inlineStr">
        <is>
          <t>（见父案步骤）</t>
        </is>
      </c>
      <c r="H126" s="3" t="inlineStr">
        <is>
          <t>故障总指示灯亮</t>
        </is>
      </c>
      <c r="I126" s="4" t="inlineStr">
        <is>
          <t>（未填写原因，需补）</t>
        </is>
      </c>
      <c r="J126" s="5" t="inlineStr">
        <is>
          <t>通过</t>
        </is>
      </c>
      <c r="K126" s="2" t="n"/>
      <c r="L126" s="2" t="n"/>
      <c r="M126" s="3" t="n"/>
      <c r="N126" s="2" t="n"/>
    </row>
    <row r="127">
      <c r="A127" s="2" t="n">
        <v>126</v>
      </c>
      <c r="B127" s="2" t="inlineStr">
        <is>
          <t>FT-01.3</t>
        </is>
      </c>
      <c r="C127" s="3" t="inlineStr">
        <is>
          <t>故障报警</t>
        </is>
      </c>
      <c r="D127" s="3" t="inlineStr">
        <is>
          <t>部位指示</t>
        </is>
      </c>
      <c r="E127" s="2" t="inlineStr">
        <is>
          <t>P0</t>
        </is>
      </c>
      <c r="F127" s="3" t="inlineStr">
        <is>
          <t>5.4.3.3 a)</t>
        </is>
      </c>
      <c r="G127" s="3" t="inlineStr">
        <is>
          <t>（见父案步骤）</t>
        </is>
      </c>
      <c r="H127" s="3" t="inlineStr">
        <is>
          <t>指示部位</t>
        </is>
      </c>
      <c r="I127" s="4" t="inlineStr">
        <is>
          <t>（未填写原因，需补）</t>
        </is>
      </c>
      <c r="J127" s="5" t="inlineStr">
        <is>
          <t>通过</t>
        </is>
      </c>
      <c r="K127" s="2" t="n"/>
      <c r="L127" s="2" t="n"/>
      <c r="M127" s="3" t="n"/>
      <c r="N127" s="2" t="n"/>
    </row>
    <row r="128">
      <c r="A128" s="2" t="n">
        <v>127</v>
      </c>
      <c r="B128" s="2" t="inlineStr">
        <is>
          <t>FT-01.4</t>
        </is>
      </c>
      <c r="C128" s="3" t="inlineStr">
        <is>
          <t>故障报警</t>
        </is>
      </c>
      <c r="D128" s="3" t="inlineStr">
        <is>
          <t>记录格式与通道</t>
        </is>
      </c>
      <c r="E128" s="2" t="inlineStr">
        <is>
          <t>P0</t>
        </is>
      </c>
      <c r="F128" s="3" t="inlineStr">
        <is>
          <t>5.4.3.10</t>
        </is>
      </c>
      <c r="G128" s="3" t="inlineStr">
        <is>
          <t>（见父案步骤）</t>
        </is>
      </c>
      <c r="H128" s="3" t="inlineStr">
        <is>
          <t>记录含年月日时分秒且不得仅用打印机记录</t>
        </is>
      </c>
      <c r="I128" s="4" t="inlineStr">
        <is>
          <t>（未填写原因，需补）</t>
        </is>
      </c>
      <c r="J128" s="5" t="inlineStr">
        <is>
          <t>通过</t>
        </is>
      </c>
      <c r="K128" s="2" t="n"/>
      <c r="L128" s="2" t="n"/>
      <c r="M128" s="3" t="n"/>
      <c r="N128" s="2" t="n"/>
    </row>
    <row r="129">
      <c r="A129" s="2" t="n">
        <v>128</v>
      </c>
      <c r="B129" s="2" t="inlineStr">
        <is>
          <t>FT-02</t>
        </is>
      </c>
      <c r="C129" s="3" t="inlineStr">
        <is>
          <t>故障报警</t>
        </is>
      </c>
      <c r="D129" s="3" t="n"/>
      <c r="E129" s="2" t="inlineStr">
        <is>
          <t>P0</t>
        </is>
      </c>
      <c r="F129" s="3" t="inlineStr">
        <is>
          <t>5.4.3.3 b)/c)/e) ↔ 6.5.5</t>
        </is>
      </c>
      <c r="G129" s="3" t="inlineStr">
        <is>
          <t>外控设备连线故障（总案）——分别制造与火灾显示盘、警报器、传输设备、联动设备间连线断/短/接地及无线设备通信故障（拓扑与手法见 §3.1 附图）；c)/e) 故障存在时使另一部位报火警</t>
        </is>
      </c>
      <c r="H129" s="3" t="inlineStr">
        <is>
          <t>见子项</t>
        </is>
      </c>
      <c r="I129" s="3" t="n"/>
      <c r="J129" s="2" t="inlineStr">
        <is>
          <t>通过</t>
        </is>
      </c>
      <c r="K129" s="2" t="n"/>
      <c r="L129" s="2" t="n"/>
      <c r="M129" s="3" t="n"/>
      <c r="N129" s="2" t="n"/>
    </row>
    <row r="130">
      <c r="A130" s="2" t="n">
        <v>129</v>
      </c>
      <c r="B130" s="2" t="inlineStr">
        <is>
          <t>FT-02.1</t>
        </is>
      </c>
      <c r="C130" s="3" t="inlineStr">
        <is>
          <t>故障报警</t>
        </is>
      </c>
      <c r="D130" s="3" t="inlineStr">
        <is>
          <t>报障与部位指示</t>
        </is>
      </c>
      <c r="E130" s="2" t="inlineStr">
        <is>
          <t>P0</t>
        </is>
      </c>
      <c r="F130" s="3" t="inlineStr">
        <is>
          <t>5.4.3.3 b)/c)/e)</t>
        </is>
      </c>
      <c r="G130" s="3" t="inlineStr">
        <is>
          <t>（见父案步骤）</t>
        </is>
      </c>
      <c r="H130" s="3" t="inlineStr">
        <is>
          <t>≤100 s 报障并指示部位</t>
        </is>
      </c>
      <c r="I130" s="3" t="n"/>
      <c r="J130" s="2" t="inlineStr">
        <is>
          <t>通过</t>
        </is>
      </c>
      <c r="K130" s="2" t="n"/>
      <c r="L130" s="2" t="n"/>
      <c r="M130" s="3" t="n"/>
      <c r="N130" s="2" t="n"/>
    </row>
    <row r="131">
      <c r="A131" s="2" t="n">
        <v>130</v>
      </c>
      <c r="B131" s="2" t="inlineStr">
        <is>
          <t>FT-02.2</t>
        </is>
      </c>
      <c r="C131" s="3" t="inlineStr">
        <is>
          <t>故障报警</t>
        </is>
      </c>
      <c r="D131" s="3" t="inlineStr">
        <is>
          <t>c)/e) 火警下仍显示</t>
        </is>
      </c>
      <c r="E131" s="2" t="inlineStr">
        <is>
          <t>P0</t>
        </is>
      </c>
      <c r="F131" s="3" t="inlineStr">
        <is>
          <t>5.4.3.3 尾注</t>
        </is>
      </c>
      <c r="G131" s="3" t="inlineStr">
        <is>
          <t>（见父案步骤）</t>
        </is>
      </c>
      <c r="H131" s="3" t="inlineStr">
        <is>
          <t>c)/e) 类故障显示不受火警信号影响</t>
        </is>
      </c>
      <c r="I131" s="3" t="n"/>
      <c r="J131" s="2" t="inlineStr">
        <is>
          <t>通过</t>
        </is>
      </c>
      <c r="K131" s="2" t="n"/>
      <c r="L131" s="2" t="n"/>
      <c r="M131" s="3" t="n"/>
      <c r="N131" s="2" t="n"/>
    </row>
    <row r="132">
      <c r="A132" s="2" t="n">
        <v>131</v>
      </c>
      <c r="B132" s="2" t="inlineStr">
        <is>
          <t>FT-03</t>
        </is>
      </c>
      <c r="C132" s="3" t="inlineStr">
        <is>
          <t>故障报警</t>
        </is>
      </c>
      <c r="D132" s="3" t="inlineStr">
        <is>
          <t>电源类故障类型显示</t>
        </is>
      </c>
      <c r="E132" s="2" t="inlineStr">
        <is>
          <t>P0</t>
        </is>
      </c>
      <c r="F132" s="3" t="inlineStr">
        <is>
          <t>5.4.3.4</t>
        </is>
      </c>
      <c r="G132" s="3" t="inlineStr">
        <is>
          <t>分别制造：充电器-备电断/短路、备电-负载断路、主电欠压、电池故障、存储单元不能保存数据</t>
        </is>
      </c>
      <c r="H132" s="3" t="inlineStr">
        <is>
          <t>≤100 s 报障并显示故障类型</t>
        </is>
      </c>
      <c r="I132" s="4" t="inlineStr">
        <is>
          <t>（未填写原因，需补）</t>
        </is>
      </c>
      <c r="J132" s="5" t="inlineStr">
        <is>
          <t>通过</t>
        </is>
      </c>
      <c r="K132" s="2" t="n"/>
      <c r="L132" s="2" t="n"/>
      <c r="M132" s="3" t="n"/>
      <c r="N132" s="2" t="n"/>
    </row>
    <row r="133">
      <c r="A133" s="2" t="n">
        <v>132</v>
      </c>
      <c r="B133" s="2" t="inlineStr">
        <is>
          <t>FT-04</t>
        </is>
      </c>
      <c r="C133" s="3" t="inlineStr">
        <is>
          <t>故障报警</t>
        </is>
      </c>
      <c r="D133" s="3" t="n"/>
      <c r="E133" s="2" t="inlineStr">
        <is>
          <t>P0</t>
        </is>
      </c>
      <c r="F133" s="3" t="inlineStr">
        <is>
          <t>5.4.3.2</t>
        </is>
      </c>
      <c r="G133" s="3" t="inlineStr">
        <is>
          <t>故障消音与再启动（总案）——① 正面：消音后制造另一个新故障；② 反面：消音后让同一故障持续存在若干个巡检周期（≥3 轮）；③ 复发：排除该故障（灯灭）后使其再次发生</t>
        </is>
      </c>
      <c r="H133" s="3" t="inlineStr">
        <is>
          <t>见子项</t>
        </is>
      </c>
      <c r="I133" s="4" t="inlineStr">
        <is>
          <t>（未填写原因，需补）</t>
        </is>
      </c>
      <c r="J133" s="5" t="inlineStr">
        <is>
          <t>通过</t>
        </is>
      </c>
      <c r="K133" s="2" t="n"/>
      <c r="L133" s="2" t="n"/>
      <c r="M133" s="3" t="n"/>
      <c r="N133" s="2" t="n"/>
    </row>
    <row r="134">
      <c r="A134" s="2" t="n">
        <v>133</v>
      </c>
      <c r="B134" s="2" t="inlineStr">
        <is>
          <t>FT-04.1</t>
        </is>
      </c>
      <c r="C134" s="3" t="inlineStr">
        <is>
          <t>故障报警</t>
        </is>
      </c>
      <c r="D134" s="3" t="inlineStr">
        <is>
          <t>新故障声再启动</t>
        </is>
      </c>
      <c r="E134" s="2" t="inlineStr">
        <is>
          <t>P0</t>
        </is>
      </c>
      <c r="F134" s="3" t="inlineStr">
        <is>
          <t>5.4.3.2</t>
        </is>
      </c>
      <c r="G134" s="3" t="inlineStr">
        <is>
          <t>（见父案步骤）</t>
        </is>
      </c>
      <c r="H134" s="3" t="inlineStr">
        <is>
          <t>① 新故障输入时声信号再启动</t>
        </is>
      </c>
      <c r="I134" s="4" t="inlineStr">
        <is>
          <t>（未填写原因，需补）</t>
        </is>
      </c>
      <c r="J134" s="5" t="inlineStr">
        <is>
          <t>通过</t>
        </is>
      </c>
      <c r="K134" s="2" t="n"/>
      <c r="L134" s="2" t="n"/>
      <c r="M134" s="3" t="n"/>
      <c r="N134" s="2" t="n"/>
    </row>
    <row r="135">
      <c r="A135" s="2" t="n">
        <v>134</v>
      </c>
      <c r="B135" s="2" t="inlineStr">
        <is>
          <t>FT-04.2</t>
        </is>
      </c>
      <c r="C135" s="3" t="inlineStr">
        <is>
          <t>故障报警</t>
        </is>
      </c>
      <c r="D135" s="3" t="inlineStr">
        <is>
          <t>持续故障不再触发声</t>
        </is>
      </c>
      <c r="E135" s="2" t="inlineStr">
        <is>
          <t>P0</t>
        </is>
      </c>
      <c r="F135" s="3" t="inlineStr">
        <is>
          <t>5.4.3.2</t>
        </is>
      </c>
      <c r="G135" s="3" t="inlineStr">
        <is>
          <t>（见父案步骤）</t>
        </is>
      </c>
      <c r="H135" s="3" t="inlineStr">
        <is>
          <t>② 同一持续故障被巡检反复确认不得再触发声音（"再有输入"＝新事件，非状态延续——实现最易错点）</t>
        </is>
      </c>
      <c r="I135" s="4" t="inlineStr">
        <is>
          <t>（未填写原因，需补）</t>
        </is>
      </c>
      <c r="J135" s="5" t="inlineStr">
        <is>
          <t>通过</t>
        </is>
      </c>
      <c r="K135" s="2" t="n"/>
      <c r="L135" s="2" t="n"/>
      <c r="M135" s="3" t="n"/>
      <c r="N135" s="2" t="n"/>
    </row>
    <row r="136">
      <c r="A136" s="2" t="n">
        <v>135</v>
      </c>
      <c r="B136" s="2" t="inlineStr">
        <is>
          <t>FT-04.3</t>
        </is>
      </c>
      <c r="C136" s="3" t="inlineStr">
        <is>
          <t>故障报警</t>
        </is>
      </c>
      <c r="D136" s="3" t="inlineStr">
        <is>
          <t>复发算新事件</t>
        </is>
      </c>
      <c r="E136" s="2" t="inlineStr">
        <is>
          <t>P0</t>
        </is>
      </c>
      <c r="F136" s="3" t="inlineStr">
        <is>
          <t>5.4.3.2</t>
        </is>
      </c>
      <c r="G136" s="3" t="inlineStr">
        <is>
          <t>（见父案步骤）</t>
        </is>
      </c>
      <c r="H136" s="3" t="inlineStr">
        <is>
          <t>③ 已排除后复发算新事件，声音重新启动</t>
        </is>
      </c>
      <c r="I136" s="3" t="n"/>
      <c r="J136" s="2" t="inlineStr">
        <is>
          <t>通过</t>
        </is>
      </c>
      <c r="K136" s="2" t="n"/>
      <c r="L136" s="2" t="n"/>
      <c r="M136" s="3" t="n"/>
      <c r="N136" s="2" t="n"/>
    </row>
    <row r="137">
      <c r="A137" s="2" t="n">
        <v>136</v>
      </c>
      <c r="B137" s="2" t="inlineStr">
        <is>
          <t>FT-04.4</t>
        </is>
      </c>
      <c r="C137" s="3" t="inlineStr">
        <is>
          <t>故障报警</t>
        </is>
      </c>
      <c r="D137" s="3" t="inlineStr">
        <is>
          <t>光保持</t>
        </is>
      </c>
      <c r="E137" s="2" t="inlineStr">
        <is>
          <t>P0</t>
        </is>
      </c>
      <c r="F137" s="3" t="inlineStr">
        <is>
          <t>5.4.3.2</t>
        </is>
      </c>
      <c r="G137" s="3" t="inlineStr">
        <is>
          <t>（见父案步骤）</t>
        </is>
      </c>
      <c r="H137" s="3" t="inlineStr">
        <is>
          <t>全程光保持至故障排除</t>
        </is>
      </c>
      <c r="I137" s="3" t="n"/>
      <c r="J137" s="2" t="inlineStr">
        <is>
          <t>通过</t>
        </is>
      </c>
      <c r="K137" s="2" t="n"/>
      <c r="L137" s="2" t="n"/>
      <c r="M137" s="3" t="n"/>
      <c r="N137" s="2" t="n"/>
    </row>
    <row r="138">
      <c r="A138" s="2" t="n">
        <v>137</v>
      </c>
      <c r="B138" s="2" t="inlineStr">
        <is>
          <t>FT-05</t>
        </is>
      </c>
      <c r="C138" s="3" t="inlineStr">
        <is>
          <t>故障报警</t>
        </is>
      </c>
      <c r="D138" s="3" t="n"/>
      <c r="E138" s="2" t="inlineStr">
        <is>
          <t>P0</t>
        </is>
      </c>
      <c r="F138" s="3" t="inlineStr">
        <is>
          <t>5.4.3.8 ↔ 6.5.4</t>
        </is>
      </c>
      <c r="G138" s="3" t="inlineStr">
        <is>
          <t>故障复位与复显（总案）——① 保留一个故障源，手动复位，计时；② 排除所有故障源后观察（光信号自动熄灭则不复位；未自动清除则手动复位）</t>
        </is>
      </c>
      <c r="H138" s="3" t="inlineStr">
        <is>
          <t>见子项</t>
        </is>
      </c>
      <c r="I138" s="3" t="n"/>
      <c r="J138" s="2" t="inlineStr">
        <is>
          <t>通过</t>
        </is>
      </c>
      <c r="K138" s="2" t="n"/>
      <c r="L138" s="2" t="n"/>
      <c r="M138" s="3" t="n"/>
      <c r="N138" s="2" t="n"/>
    </row>
    <row r="139">
      <c r="A139" s="2" t="n">
        <v>138</v>
      </c>
      <c r="B139" s="2" t="inlineStr">
        <is>
          <t>FT-05.1</t>
        </is>
      </c>
      <c r="C139" s="3" t="inlineStr">
        <is>
          <t>故障报警</t>
        </is>
      </c>
      <c r="D139" s="3" t="inlineStr">
        <is>
          <t>复位完成时限</t>
        </is>
      </c>
      <c r="E139" s="2" t="inlineStr">
        <is>
          <t>P0</t>
        </is>
      </c>
      <c r="F139" s="3" t="inlineStr">
        <is>
          <t>5.4.3.8</t>
        </is>
      </c>
      <c r="G139" s="3" t="inlineStr">
        <is>
          <t>（见父案步骤）</t>
        </is>
      </c>
      <c r="H139" s="3" t="inlineStr">
        <is>
          <t>① ≤20 s 完成复位并显示复位完成状态</t>
        </is>
      </c>
      <c r="I139" s="4" t="inlineStr">
        <is>
          <t>（未填写原因，需补）</t>
        </is>
      </c>
      <c r="J139" s="5" t="inlineStr">
        <is>
          <t>通过</t>
        </is>
      </c>
      <c r="K139" s="2" t="n"/>
      <c r="L139" s="2" t="n"/>
      <c r="M139" s="3" t="n"/>
      <c r="N139" s="2" t="n"/>
    </row>
    <row r="140">
      <c r="A140" s="2" t="n">
        <v>139</v>
      </c>
      <c r="B140" s="2" t="inlineStr">
        <is>
          <t>FT-05.2</t>
        </is>
      </c>
      <c r="C140" s="3" t="inlineStr">
        <is>
          <t>故障报警</t>
        </is>
      </c>
      <c r="D140" s="3" t="inlineStr">
        <is>
          <t>尚存故障复显</t>
        </is>
      </c>
      <c r="E140" s="2" t="inlineStr">
        <is>
          <t>P0</t>
        </is>
      </c>
      <c r="F140" s="3" t="inlineStr">
        <is>
          <t>5.4.3.8</t>
        </is>
      </c>
      <c r="G140" s="3" t="inlineStr">
        <is>
          <t>（见父案步骤）</t>
        </is>
      </c>
      <c r="H140" s="3" t="inlineStr">
        <is>
          <t>① 尚存故障 ≤100 s 重新显示</t>
        </is>
      </c>
      <c r="I140" s="4" t="inlineStr">
        <is>
          <t>（未填写原因，需补）</t>
        </is>
      </c>
      <c r="J140" s="5" t="inlineStr">
        <is>
          <t>通过</t>
        </is>
      </c>
      <c r="K140" s="2" t="n"/>
      <c r="L140" s="2" t="n"/>
      <c r="M140" s="3" t="n"/>
      <c r="N140" s="2" t="n"/>
    </row>
    <row r="141">
      <c r="A141" s="2" t="n">
        <v>140</v>
      </c>
      <c r="B141" s="2" t="inlineStr">
        <is>
          <t>FT-05.3</t>
        </is>
      </c>
      <c r="C141" s="3" t="inlineStr">
        <is>
          <t>故障报警</t>
        </is>
      </c>
      <c r="D141" s="3" t="inlineStr">
        <is>
          <t>全清后无残留</t>
        </is>
      </c>
      <c r="E141" s="2" t="inlineStr">
        <is>
          <t>P0</t>
        </is>
      </c>
      <c r="F141" s="3" t="inlineStr">
        <is>
          <t>5.4.3.8</t>
        </is>
      </c>
      <c r="G141" s="3" t="inlineStr">
        <is>
          <t>（见父案步骤）</t>
        </is>
      </c>
      <c r="H141" s="3" t="inlineStr">
        <is>
          <t>② 全部故障排除后指示完全清空、无残留——自动恢复路径与手动复位路径都必须把显示清干净，不许挂"幽灵故障"</t>
        </is>
      </c>
      <c r="I141" s="3" t="n"/>
      <c r="J141" s="2" t="inlineStr">
        <is>
          <t>通过</t>
        </is>
      </c>
      <c r="K141" s="2" t="n"/>
      <c r="L141" s="2" t="n"/>
      <c r="M141" s="3" t="n"/>
      <c r="N141" s="2" t="n"/>
    </row>
    <row r="142">
      <c r="A142" s="2" t="n">
        <v>141</v>
      </c>
      <c r="B142" s="2" t="inlineStr">
        <is>
          <t>FT-06</t>
        </is>
      </c>
      <c r="C142" s="3" t="inlineStr">
        <is>
          <t>故障报警</t>
        </is>
      </c>
      <c r="D142" s="3" t="inlineStr">
        <is>
          <t>主电断+备电不足报警保持</t>
        </is>
      </c>
      <c r="E142" s="2" t="inlineStr">
        <is>
          <t>P1</t>
        </is>
      </c>
      <c r="F142" s="3" t="inlineStr">
        <is>
          <t>5.4.3.6 ↔ 6.5.6</t>
        </is>
      </c>
      <c r="G142" s="3" t="inlineStr">
        <is>
          <t>断主电并使备电降至不能保证正常工作</t>
        </is>
      </c>
      <c r="H142" s="3" t="inlineStr">
        <is>
          <t>发出声故障信号并保持 ≥1 h</t>
        </is>
      </c>
      <c r="I142" s="3" t="n"/>
      <c r="J142" s="2" t="inlineStr">
        <is>
          <t>通过</t>
        </is>
      </c>
      <c r="K142" s="2" t="n"/>
      <c r="L142" s="2" t="inlineStr">
        <is>
          <t>2026-09-03</t>
        </is>
      </c>
      <c r="M142" s="3" t="n"/>
      <c r="N142" s="2" t="n"/>
    </row>
    <row r="143">
      <c r="A143" s="2" t="n">
        <v>142</v>
      </c>
      <c r="B143" s="2" t="inlineStr">
        <is>
          <t>FT-07</t>
        </is>
      </c>
      <c r="C143" s="3" t="inlineStr">
        <is>
          <t>故障报警</t>
        </is>
      </c>
      <c r="D143" s="3" t="n"/>
      <c r="E143" s="2" t="inlineStr">
        <is>
          <t>P0</t>
        </is>
      </c>
      <c r="F143" s="3" t="inlineStr">
        <is>
          <t>5.4.3.9 ↔ 6.5.8</t>
        </is>
      </c>
      <c r="G143" s="3" t="inlineStr">
        <is>
          <t>任一故障均不应影响非故障部分的正常工作</t>
        </is>
      </c>
      <c r="H143" s="3" t="inlineStr">
        <is>
          <t>见子项</t>
        </is>
      </c>
      <c r="I143" s="3" t="n"/>
      <c r="J143" s="2" t="inlineStr">
        <is>
          <t>通过</t>
        </is>
      </c>
      <c r="K143" s="2" t="n"/>
      <c r="L143" s="2" t="n"/>
      <c r="M143" s="3" t="n"/>
      <c r="N143" s="2" t="n"/>
    </row>
    <row r="144">
      <c r="A144" s="2" t="n">
        <v>143</v>
      </c>
      <c r="B144" s="2" t="inlineStr">
        <is>
          <t>FT-07.1</t>
        </is>
      </c>
      <c r="C144" s="3" t="inlineStr">
        <is>
          <t>故障报警</t>
        </is>
      </c>
      <c r="D144" s="3" t="inlineStr">
        <is>
          <t>非故障火警达标</t>
        </is>
      </c>
      <c r="E144" s="2" t="inlineStr">
        <is>
          <t>P0</t>
        </is>
      </c>
      <c r="F144" s="3" t="inlineStr">
        <is>
          <t>5.4.3.9</t>
        </is>
      </c>
      <c r="G144" s="3" t="inlineStr">
        <is>
          <t>（见父案步骤）</t>
        </is>
      </c>
      <c r="H144" s="3" t="inlineStr">
        <is>
          <t>每行故障存在期间：非故障部位火警 ≤10 s（重新计时验证）</t>
        </is>
      </c>
      <c r="I144" s="3" t="n"/>
      <c r="J144" s="2" t="inlineStr">
        <is>
          <t>通过</t>
        </is>
      </c>
      <c r="K144" s="2" t="n"/>
      <c r="L144" s="2" t="n"/>
      <c r="M144" s="3" t="n"/>
      <c r="N144" s="2" t="n"/>
    </row>
    <row r="145">
      <c r="A145" s="2" t="n">
        <v>144</v>
      </c>
      <c r="B145" s="2" t="inlineStr">
        <is>
          <t>FT-08</t>
        </is>
      </c>
      <c r="C145" s="3" t="inlineStr">
        <is>
          <t>故障报警</t>
        </is>
      </c>
      <c r="D145" s="3" t="inlineStr">
        <is>
          <t>故障信息容量与查询</t>
        </is>
      </c>
      <c r="E145" s="2" t="inlineStr">
        <is>
          <t>P1</t>
        </is>
      </c>
      <c r="F145" s="3" t="inlineStr">
        <is>
          <t>5.4.3.5 ↔ 6.5.10</t>
        </is>
      </c>
      <c r="G145" s="3" t="inlineStr">
        <is>
          <t>增加故障数直至显示区域不能同时显示</t>
        </is>
      </c>
      <c r="H145" s="3" t="inlineStr">
        <is>
          <t>未显示故障可手动查询</t>
        </is>
      </c>
      <c r="I145" s="4" t="inlineStr">
        <is>
          <t>（未填写原因，需补）</t>
        </is>
      </c>
      <c r="J145" s="6" t="inlineStr">
        <is>
          <t>通过</t>
        </is>
      </c>
      <c r="K145" s="2" t="n"/>
      <c r="L145" s="2" t="inlineStr">
        <is>
          <t>2026-08-18</t>
        </is>
      </c>
      <c r="M145" s="3" t="n"/>
      <c r="N145" s="2" t="n"/>
    </row>
    <row r="146">
      <c r="A146" s="2" t="n">
        <v>145</v>
      </c>
      <c r="B146" s="2" t="inlineStr">
        <is>
          <t>FT-09</t>
        </is>
      </c>
      <c r="C146" s="3" t="inlineStr">
        <is>
          <t>故障报警</t>
        </is>
      </c>
      <c r="D146" s="3" t="n"/>
      <c r="E146" s="2" t="inlineStr">
        <is>
          <t>P0</t>
        </is>
      </c>
      <c r="F146" s="3" t="inlineStr">
        <is>
          <t>5.4.3.11 ↔ 6.5.9</t>
        </is>
      </c>
      <c r="G146" s="3" t="inlineStr">
        <is>
          <t>总线短路隔离器（总案）——条件适用条款（"当采用总线工作方式时"）：本产品为二总线＝条件恒成立，必做。试验：使总线某点短路；随后使隔离段外的探测器报火警、联动设备动作</t>
        </is>
      </c>
      <c r="H146" s="3" t="inlineStr">
        <is>
          <t>见子项</t>
        </is>
      </c>
      <c r="I146" s="4" t="inlineStr">
        <is>
          <t>（未填写原因，需补）</t>
        </is>
      </c>
      <c r="J146" s="6" t="inlineStr">
        <is>
          <t>待测</t>
        </is>
      </c>
      <c r="K146" s="2" t="n"/>
      <c r="L146" s="2" t="inlineStr">
        <is>
          <t>2026-08-18</t>
        </is>
      </c>
      <c r="M146" s="3" t="n"/>
      <c r="N146" s="2" t="n"/>
    </row>
    <row r="147">
      <c r="A147" s="2" t="n">
        <v>146</v>
      </c>
      <c r="B147" s="2" t="inlineStr">
        <is>
          <t>FT-09.1</t>
        </is>
      </c>
      <c r="C147" s="3" t="inlineStr">
        <is>
          <t>故障报警</t>
        </is>
      </c>
      <c r="D147" s="3" t="inlineStr">
        <is>
          <t>隔离动作与指示</t>
        </is>
      </c>
      <c r="E147" s="2" t="inlineStr">
        <is>
          <t>P0</t>
        </is>
      </c>
      <c r="F147" s="3" t="inlineStr">
        <is>
          <t>5.4.3.11</t>
        </is>
      </c>
      <c r="G147" s="3" t="inlineStr">
        <is>
          <t>（见父案步骤）</t>
        </is>
      </c>
      <c r="H147" s="3" t="inlineStr">
        <is>
          <t>隔离器动作并指示被隔离部件部位号或故障部位号</t>
        </is>
      </c>
      <c r="I147" s="4" t="inlineStr">
        <is>
          <t>（未填写原因，需补）</t>
        </is>
      </c>
      <c r="J147" s="6" t="inlineStr">
        <is>
          <t>待测</t>
        </is>
      </c>
      <c r="K147" s="2" t="n"/>
      <c r="L147" s="2" t="inlineStr">
        <is>
          <t>2026-08-18</t>
        </is>
      </c>
      <c r="M147" s="3" t="n"/>
      <c r="N147" s="2" t="n"/>
    </row>
    <row r="148">
      <c r="A148" s="2" t="n">
        <v>147</v>
      </c>
      <c r="B148" s="2" t="inlineStr">
        <is>
          <t>FT-09.2</t>
        </is>
      </c>
      <c r="C148" s="3" t="inlineStr">
        <is>
          <t>故障报警</t>
        </is>
      </c>
      <c r="D148" s="3" t="inlineStr">
        <is>
          <t>影响范围上限</t>
        </is>
      </c>
      <c r="E148" s="2" t="inlineStr">
        <is>
          <t>P0</t>
        </is>
      </c>
      <c r="F148" s="3" t="inlineStr">
        <is>
          <t>5.4.3.11</t>
        </is>
      </c>
      <c r="G148" s="3" t="inlineStr">
        <is>
          <t>（见父案步骤）</t>
        </is>
      </c>
      <c r="H148" s="3" t="inlineStr">
        <is>
          <t>受影响部件 ≤32 点（布线规则：每 32 点插一个隔离器）</t>
        </is>
      </c>
      <c r="I148" s="4" t="inlineStr">
        <is>
          <t>（未填写原因，需补）</t>
        </is>
      </c>
      <c r="J148" s="6" t="inlineStr">
        <is>
          <t>待测</t>
        </is>
      </c>
      <c r="K148" s="2" t="n"/>
      <c r="L148" s="2" t="inlineStr">
        <is>
          <t>2026-08-18</t>
        </is>
      </c>
      <c r="M148" s="3" t="n"/>
      <c r="N148" s="2" t="n"/>
    </row>
    <row r="149">
      <c r="A149" s="2" t="n">
        <v>148</v>
      </c>
      <c r="B149" s="2" t="inlineStr">
        <is>
          <t>FT-09.3</t>
        </is>
      </c>
      <c r="C149" s="3" t="inlineStr">
        <is>
          <t>故障报警</t>
        </is>
      </c>
      <c r="D149" s="3" t="inlineStr">
        <is>
          <t>隔离段外照常</t>
        </is>
      </c>
      <c r="E149" s="2" t="inlineStr">
        <is>
          <t>P0</t>
        </is>
      </c>
      <c r="F149" s="3" t="inlineStr">
        <is>
          <t>5.4.3.11</t>
        </is>
      </c>
      <c r="G149" s="3" t="inlineStr">
        <is>
          <t>（见父案步骤）</t>
        </is>
      </c>
      <c r="H149" s="3" t="inlineStr">
        <is>
          <t>隔离段外设备报警/控制功能照常（32 点上限的意义所在）</t>
        </is>
      </c>
      <c r="I149" s="4" t="inlineStr">
        <is>
          <t>（未填写原因，需补）</t>
        </is>
      </c>
      <c r="J149" s="6" t="inlineStr">
        <is>
          <t>待测</t>
        </is>
      </c>
      <c r="K149" s="2" t="n"/>
      <c r="L149" s="2" t="inlineStr">
        <is>
          <t>2026-08-18</t>
        </is>
      </c>
      <c r="M149" s="3" t="n"/>
      <c r="N149" s="2" t="n"/>
    </row>
    <row r="150">
      <c r="A150" s="2" t="n">
        <v>149</v>
      </c>
      <c r="B150" s="2" t="inlineStr">
        <is>
          <t>FT-09.4</t>
        </is>
      </c>
      <c r="C150" s="3" t="inlineStr">
        <is>
          <t>故障报警</t>
        </is>
      </c>
      <c r="D150" s="3" t="inlineStr">
        <is>
          <t>恢复被隔离段</t>
        </is>
      </c>
      <c r="E150" s="2" t="inlineStr">
        <is>
          <t>P0</t>
        </is>
      </c>
      <c r="F150" s="3" t="inlineStr">
        <is>
          <t>5.4.3.11</t>
        </is>
      </c>
      <c r="G150" s="3" t="inlineStr">
        <is>
          <t>（见父案步骤）</t>
        </is>
      </c>
      <c r="H150" s="3" t="inlineStr">
        <is>
          <t>短路排除后可恢复被隔离段</t>
        </is>
      </c>
      <c r="I150" s="4" t="inlineStr">
        <is>
          <t>（未填写原因，需补）</t>
        </is>
      </c>
      <c r="J150" s="6" t="inlineStr">
        <is>
          <t>待测</t>
        </is>
      </c>
      <c r="K150" s="2" t="n"/>
      <c r="L150" s="2" t="inlineStr">
        <is>
          <t>2026-08-18</t>
        </is>
      </c>
      <c r="M150" s="3" t="n"/>
      <c r="N150" s="2" t="n"/>
    </row>
    <row r="151">
      <c r="A151" s="2" t="n">
        <v>150</v>
      </c>
      <c r="B151" s="2" t="inlineStr">
        <is>
          <t>FT-10</t>
        </is>
      </c>
      <c r="C151" s="3" t="inlineStr">
        <is>
          <t>故障报警</t>
        </is>
      </c>
      <c r="D151" s="3" t="n"/>
      <c r="E151" s="2" t="inlineStr">
        <is>
          <t>P1</t>
        </is>
      </c>
      <c r="F151" s="3" t="inlineStr">
        <is>
          <t>5.4.3.3 尾注</t>
        </is>
      </c>
      <c r="G151" s="3" t="inlineStr">
        <is>
          <t>火警与故障显示优先级（总案）——① 拔掉探测器回路的一根线（＝a) 项断路），等故障显示出现后，使另一回路/另一部位的探测器报火警；② 恢复①，改为回路线经电阻碰机壳（＝a) 项接地故障），再使另一部位报火警</t>
        </is>
      </c>
      <c r="H151" s="3" t="inlineStr">
        <is>
          <t>见子项</t>
        </is>
      </c>
      <c r="I151" s="3" t="n"/>
      <c r="J151" s="2" t="inlineStr">
        <is>
          <t>通过</t>
        </is>
      </c>
      <c r="K151" s="2" t="n"/>
      <c r="L151" s="2" t="n"/>
      <c r="M151" s="3" t="inlineStr">
        <is>
          <t>单烟感手法：断路/接地故障改在模块或声光支线制造，火警仍由烟感触发——满足『故障部位≠火警部位』即可测</t>
        </is>
      </c>
      <c r="N151" s="2" t="n"/>
    </row>
    <row r="152">
      <c r="A152" s="2" t="n">
        <v>151</v>
      </c>
      <c r="B152" s="2" t="inlineStr">
        <is>
          <t>FT-10.1</t>
        </is>
      </c>
      <c r="C152" s="3" t="inlineStr">
        <is>
          <t>故障报警</t>
        </is>
      </c>
      <c r="D152" s="3" t="inlineStr">
        <is>
          <t>断路故障准许暂缓</t>
        </is>
      </c>
      <c r="E152" s="2" t="inlineStr">
        <is>
          <t>P1</t>
        </is>
      </c>
      <c r="F152" s="3" t="inlineStr">
        <is>
          <t>5.4.3.3 尾注</t>
        </is>
      </c>
      <c r="G152" s="3" t="inlineStr">
        <is>
          <t>（见父案步骤）</t>
        </is>
      </c>
      <c r="H152" s="3" t="inlineStr">
        <is>
          <t>① 火警出现后，该断路故障准许从显示暂缓/消失（探测器在报警说明线通着，此刻断路信息价值低，让位火警）</t>
        </is>
      </c>
      <c r="I152" s="3" t="n"/>
      <c r="J152" s="2" t="inlineStr">
        <is>
          <t>通过</t>
        </is>
      </c>
      <c r="K152" s="2" t="n"/>
      <c r="L152" s="2" t="n"/>
      <c r="M152" s="3" t="n"/>
      <c r="N152" s="2" t="n"/>
    </row>
    <row r="153">
      <c r="A153" s="2" t="n">
        <v>152</v>
      </c>
      <c r="B153" s="2" t="inlineStr">
        <is>
          <t>FT-10.2</t>
        </is>
      </c>
      <c r="C153" s="3" t="inlineStr">
        <is>
          <t>故障报警</t>
        </is>
      </c>
      <c r="D153" s="3" t="inlineStr">
        <is>
          <t>接地故障仍须显示</t>
        </is>
      </c>
      <c r="E153" s="2" t="inlineStr">
        <is>
          <t>P1</t>
        </is>
      </c>
      <c r="F153" s="3" t="inlineStr">
        <is>
          <t>5.4.3.3 尾注</t>
        </is>
      </c>
      <c r="G153" s="3" t="inlineStr">
        <is>
          <t>（见父案步骤）</t>
        </is>
      </c>
      <c r="H153" s="3" t="inlineStr">
        <is>
          <t>② 接地故障是例外，火警状态下仍须显示（接地在恶化，不能藏）</t>
        </is>
      </c>
      <c r="I153" s="3" t="n"/>
      <c r="J153" s="2" t="inlineStr">
        <is>
          <t>通过</t>
        </is>
      </c>
      <c r="K153" s="2" t="n"/>
      <c r="L153" s="2" t="n"/>
      <c r="M153" s="3" t="n"/>
      <c r="N153" s="2" t="n"/>
    </row>
    <row r="154">
      <c r="A154" s="2" t="n">
        <v>153</v>
      </c>
      <c r="B154" s="2" t="inlineStr">
        <is>
          <t>FT-10.3</t>
        </is>
      </c>
      <c r="C154" s="3" t="inlineStr">
        <is>
          <t>故障报警</t>
        </is>
      </c>
      <c r="D154" s="3" t="inlineStr">
        <is>
          <t>记录上报不受影响</t>
        </is>
      </c>
      <c r="E154" s="2" t="inlineStr">
        <is>
          <t>P1</t>
        </is>
      </c>
      <c r="F154" s="3" t="inlineStr">
        <is>
          <t>5.4.3.3 尾注</t>
        </is>
      </c>
      <c r="G154" s="3" t="inlineStr">
        <is>
          <t>（见父案步骤）</t>
        </is>
      </c>
      <c r="H154" s="3" t="inlineStr">
        <is>
          <t>两种情况下故障记录照记、上报照传</t>
        </is>
      </c>
      <c r="I154" s="3" t="n"/>
      <c r="J154" s="2" t="inlineStr">
        <is>
          <t>通过</t>
        </is>
      </c>
      <c r="K154" s="2" t="n"/>
      <c r="L154" s="2" t="n"/>
      <c r="M154" s="3" t="n"/>
      <c r="N154" s="2" t="n"/>
    </row>
    <row r="155">
      <c r="A155" s="2" t="n">
        <v>154</v>
      </c>
      <c r="B155" s="2" t="inlineStr">
        <is>
          <t>FT-10.4</t>
        </is>
      </c>
      <c r="C155" s="3" t="inlineStr">
        <is>
          <t>故障报警</t>
        </is>
      </c>
      <c r="D155" s="3" t="inlineStr">
        <is>
          <t>复位后复显</t>
        </is>
      </c>
      <c r="E155" s="2" t="inlineStr">
        <is>
          <t>P1</t>
        </is>
      </c>
      <c r="F155" s="3" t="inlineStr">
        <is>
          <t>5.4.3.8</t>
        </is>
      </c>
      <c r="G155" s="3" t="inlineStr">
        <is>
          <t>（见父案步骤）</t>
        </is>
      </c>
      <c r="H155" s="3" t="inlineStr">
        <is>
          <t>火警复位后，仍存的故障 ≤100 s 重新显示（衔接 FT-05）</t>
        </is>
      </c>
      <c r="I155" s="3" t="n"/>
      <c r="J155" s="2" t="inlineStr">
        <is>
          <t>通过</t>
        </is>
      </c>
      <c r="K155" s="2" t="n"/>
      <c r="L155" s="2" t="n"/>
      <c r="M155" s="3" t="n"/>
      <c r="N155" s="2" t="n"/>
    </row>
    <row r="156">
      <c r="A156" s="2" t="n">
        <v>155</v>
      </c>
      <c r="B156" s="2" t="inlineStr">
        <is>
          <t>FT-11</t>
        </is>
      </c>
      <c r="C156" s="3" t="inlineStr">
        <is>
          <t>故障报警</t>
        </is>
      </c>
      <c r="D156" s="3" t="inlineStr">
        <is>
          <t>总线线间电阻故障</t>
        </is>
      </c>
      <c r="E156" s="2" t="inlineStr">
        <is>
          <t>P1</t>
        </is>
      </c>
      <c r="F156" s="3" t="inlineStr">
        <is>
          <t>5.4.3.3 d)</t>
        </is>
      </c>
      <c r="G156" s="3" t="inlineStr">
        <is>
          <t>使报警/联动/设备控制总线线间电阻低于规定值</t>
        </is>
      </c>
      <c r="H156" s="3" t="inlineStr">
        <is>
          <t>影响正常通信时报障</t>
        </is>
      </c>
      <c r="I156" s="3" t="n"/>
      <c r="J156" s="2" t="inlineStr">
        <is>
          <t>通过</t>
        </is>
      </c>
      <c r="K156" s="2" t="n"/>
      <c r="L156" s="2" t="n"/>
      <c r="M156" s="3" t="n"/>
      <c r="N156" s="2" t="n"/>
    </row>
    <row r="157">
      <c r="A157" s="2" t="n">
        <v>156</v>
      </c>
      <c r="B157" s="2" t="inlineStr">
        <is>
          <t>FT-12</t>
        </is>
      </c>
      <c r="C157" s="3" t="inlineStr">
        <is>
          <t>故障报警</t>
        </is>
      </c>
      <c r="D157" s="3" t="n"/>
      <c r="E157" s="2" t="inlineStr">
        <is>
          <t>P0</t>
        </is>
      </c>
      <c r="F157" s="3" t="inlineStr">
        <is>
          <t>5.4.3.1</t>
        </is>
      </c>
      <c r="G157" s="3" t="inlineStr">
        <is>
          <t>故障总灯无条件点亮（总案）——分别在火警状态中、自检进行中、存在屏蔽时制造一个新故障</t>
        </is>
      </c>
      <c r="H157" s="3" t="inlineStr">
        <is>
          <t>见子项</t>
        </is>
      </c>
      <c r="I157" s="3" t="n"/>
      <c r="J157" s="2" t="inlineStr">
        <is>
          <t>通过</t>
        </is>
      </c>
      <c r="K157" s="2" t="n"/>
      <c r="L157" s="2" t="n"/>
      <c r="M157" s="3" t="n"/>
      <c r="N157" s="2" t="n"/>
    </row>
    <row r="158">
      <c r="A158" s="2" t="n">
        <v>157</v>
      </c>
      <c r="B158" s="2" t="inlineStr">
        <is>
          <t>FT-12.1</t>
        </is>
      </c>
      <c r="C158" s="3" t="inlineStr">
        <is>
          <t>故障报警</t>
        </is>
      </c>
      <c r="D158" s="3" t="inlineStr">
        <is>
          <t>火警中点亮</t>
        </is>
      </c>
      <c r="E158" s="2" t="inlineStr">
        <is>
          <t>P0</t>
        </is>
      </c>
      <c r="F158" s="3" t="inlineStr">
        <is>
          <t>5.4.3.1</t>
        </is>
      </c>
      <c r="G158" s="3" t="inlineStr">
        <is>
          <t>（见父案步骤）</t>
        </is>
      </c>
      <c r="H158" s="3" t="inlineStr">
        <is>
          <t>火警状态中新故障→故障总指示灯点亮（常亮，5.3.1.5 默认亮法）</t>
        </is>
      </c>
      <c r="I158" s="3" t="n"/>
      <c r="J158" s="2" t="inlineStr">
        <is>
          <t>通过</t>
        </is>
      </c>
      <c r="K158" s="2" t="n"/>
      <c r="L158" s="2" t="n"/>
      <c r="M158" s="3" t="n"/>
      <c r="N158" s="2" t="n"/>
    </row>
    <row r="159">
      <c r="A159" s="2" t="n">
        <v>158</v>
      </c>
      <c r="B159" s="2" t="inlineStr">
        <is>
          <t>FT-12.2</t>
        </is>
      </c>
      <c r="C159" s="3" t="inlineStr">
        <is>
          <t>故障报警</t>
        </is>
      </c>
      <c r="D159" s="3" t="inlineStr">
        <is>
          <t>自检中点亮</t>
        </is>
      </c>
      <c r="E159" s="2" t="inlineStr">
        <is>
          <t>P0</t>
        </is>
      </c>
      <c r="F159" s="3" t="inlineStr">
        <is>
          <t>5.4.3.1</t>
        </is>
      </c>
      <c r="G159" s="3" t="inlineStr">
        <is>
          <t>（见父案步骤）</t>
        </is>
      </c>
      <c r="H159" s="3" t="inlineStr">
        <is>
          <t>自检进行中新故障→故障总指示灯点亮</t>
        </is>
      </c>
      <c r="I159" s="3" t="n"/>
      <c r="J159" s="2" t="inlineStr">
        <is>
          <t>通过</t>
        </is>
      </c>
      <c r="K159" s="2" t="n"/>
      <c r="L159" s="2" t="n"/>
      <c r="M159" s="3" t="n"/>
      <c r="N159" s="2" t="n"/>
    </row>
    <row r="160">
      <c r="A160" s="2" t="n">
        <v>159</v>
      </c>
      <c r="B160" s="2" t="inlineStr">
        <is>
          <t>FT-12.3</t>
        </is>
      </c>
      <c r="C160" s="3" t="inlineStr">
        <is>
          <t>故障报警</t>
        </is>
      </c>
      <c r="D160" s="3" t="inlineStr">
        <is>
          <t>屏蔽中点亮</t>
        </is>
      </c>
      <c r="E160" s="2" t="inlineStr">
        <is>
          <t>P0</t>
        </is>
      </c>
      <c r="F160" s="3" t="inlineStr">
        <is>
          <t>5.4.3.1</t>
        </is>
      </c>
      <c r="G160" s="3" t="inlineStr">
        <is>
          <t>（见父案步骤）</t>
        </is>
      </c>
      <c r="H160" s="3" t="inlineStr">
        <is>
          <t>存在屏蔽时新故障→故障总指示灯点亮</t>
        </is>
      </c>
      <c r="I160" s="3" t="n"/>
      <c r="J160" s="2" t="inlineStr">
        <is>
          <t>通过</t>
        </is>
      </c>
      <c r="K160" s="2" t="n"/>
      <c r="L160" s="2" t="n"/>
      <c r="M160" s="3" t="n"/>
      <c r="N160" s="2" t="n"/>
    </row>
    <row r="161">
      <c r="A161" s="2" t="n">
        <v>160</v>
      </c>
      <c r="B161" s="2" t="inlineStr">
        <is>
          <t>FT-12.4</t>
        </is>
      </c>
      <c r="C161" s="3" t="inlineStr">
        <is>
          <t>故障报警</t>
        </is>
      </c>
      <c r="D161" s="3" t="inlineStr">
        <is>
          <t>不参与显示仲裁</t>
        </is>
      </c>
      <c r="E161" s="2" t="inlineStr">
        <is>
          <t>P0</t>
        </is>
      </c>
      <c r="F161" s="3" t="inlineStr">
        <is>
          <t>5.4.3.1</t>
        </is>
      </c>
      <c r="G161" s="3" t="inlineStr">
        <is>
          <t>（见父案步骤）</t>
        </is>
      </c>
      <c r="H161" s="3" t="inlineStr">
        <is>
          <t>该灯是全机故障的 OR、直连灯，不参与显示等级仲裁——显示器上的故障信息可被高等级信息暂缓，总灯不可</t>
        </is>
      </c>
      <c r="I161" s="3" t="n"/>
      <c r="J161" s="2" t="inlineStr">
        <is>
          <t>通过</t>
        </is>
      </c>
      <c r="K161" s="2" t="n"/>
      <c r="L161" s="2" t="n"/>
      <c r="M161" s="3" t="n"/>
      <c r="N161" s="2" t="n"/>
    </row>
    <row r="162">
      <c r="A162" s="2" t="n">
        <v>161</v>
      </c>
      <c r="B162" s="2" t="inlineStr">
        <is>
          <t>SH-01</t>
        </is>
      </c>
      <c r="C162" s="3" t="inlineStr">
        <is>
          <t>屏蔽</t>
        </is>
      </c>
      <c r="D162" s="3" t="n"/>
      <c r="E162" s="2" t="inlineStr">
        <is>
          <t>P1</t>
        </is>
      </c>
      <c r="F162" s="3" t="inlineStr">
        <is>
          <t>5.4.4.1～5.4.4.3</t>
        </is>
      </c>
      <c r="G162" s="3" t="inlineStr">
        <is>
          <t>屏蔽操作与指示（总案）——手动屏蔽一只探测器，计时；尝试一次屏蔽多只；尝试屏蔽火警/故障状态探测器</t>
        </is>
      </c>
      <c r="H162" s="3" t="inlineStr">
        <is>
          <t>见子项</t>
        </is>
      </c>
      <c r="I162" s="3" t="inlineStr">
        <is>
          <t>可以屏蔽，但是屏蔽的时候。提示红色提示语【设备处于屏蔽状态】
可以解除，但是解除报的信息是红色的【设备处于未屏蔽状态】</t>
        </is>
      </c>
      <c r="J162" s="2" t="inlineStr">
        <is>
          <t>不通过</t>
        </is>
      </c>
      <c r="K162" s="2" t="n"/>
      <c r="L162" s="2" t="inlineStr">
        <is>
          <t>2026-09-03</t>
        </is>
      </c>
      <c r="M162" s="3" t="n"/>
      <c r="N162" s="2" t="inlineStr">
        <is>
          <t>监控&amp;控制 / 屏蔽控制</t>
        </is>
      </c>
    </row>
    <row r="163">
      <c r="A163" s="2" t="n">
        <v>162</v>
      </c>
      <c r="B163" s="2" t="inlineStr">
        <is>
          <t>SH-01.1</t>
        </is>
      </c>
      <c r="C163" s="3" t="inlineStr">
        <is>
          <t>屏蔽</t>
        </is>
      </c>
      <c r="D163" s="3" t="inlineStr">
        <is>
          <t>手动且单只</t>
        </is>
      </c>
      <c r="E163" s="2" t="inlineStr">
        <is>
          <t>P1</t>
        </is>
      </c>
      <c r="F163" s="3" t="inlineStr">
        <is>
          <t>5.4.4.2</t>
        </is>
      </c>
      <c r="G163" s="3" t="inlineStr">
        <is>
          <t>（见父案步骤）</t>
        </is>
      </c>
      <c r="H163" s="3" t="inlineStr">
        <is>
          <t>仅手动、每次仅 1 只</t>
        </is>
      </c>
      <c r="I163" s="3" t="n"/>
      <c r="J163" s="2" t="inlineStr">
        <is>
          <t>通过</t>
        </is>
      </c>
      <c r="K163" s="2" t="n"/>
      <c r="L163" s="2" t="n"/>
      <c r="M163" s="3" t="n"/>
      <c r="N163" s="2" t="inlineStr">
        <is>
          <t>监控&amp;控制 / 屏蔽控制</t>
        </is>
      </c>
    </row>
    <row r="164">
      <c r="A164" s="2" t="n">
        <v>163</v>
      </c>
      <c r="B164" s="2" t="inlineStr">
        <is>
          <t>SH-01.2</t>
        </is>
      </c>
      <c r="C164" s="3" t="inlineStr">
        <is>
          <t>屏蔽</t>
        </is>
      </c>
      <c r="D164" s="3" t="inlineStr">
        <is>
          <t>报警中禁屏</t>
        </is>
      </c>
      <c r="E164" s="2" t="inlineStr">
        <is>
          <t>P1</t>
        </is>
      </c>
      <c r="F164" s="3" t="inlineStr">
        <is>
          <t>5.4.4.2</t>
        </is>
      </c>
      <c r="G164" s="3" t="inlineStr">
        <is>
          <t>（见父案步骤）</t>
        </is>
      </c>
      <c r="H164" s="3" t="inlineStr">
        <is>
          <t>不能屏蔽火警/故障状态探测器</t>
        </is>
      </c>
      <c r="I164" s="3" t="inlineStr">
        <is>
          <t>页面已有红字提示"处于火警、故障状态下的设备无法屏蔽"，说明设计已考虑；但未实测——需让某设备进火警态后再试屏蔽验证拦截</t>
        </is>
      </c>
      <c r="J164" s="8" t="inlineStr">
        <is>
          <t>通过</t>
        </is>
      </c>
      <c r="K164" s="2" t="n"/>
      <c r="L164" s="2" t="inlineStr">
        <is>
          <t>2026-09-03</t>
        </is>
      </c>
      <c r="M164" s="3" t="n"/>
      <c r="N164" s="2" t="inlineStr">
        <is>
          <t>监控&amp;控制 / 屏蔽控制</t>
        </is>
      </c>
    </row>
    <row r="165">
      <c r="A165" s="2" t="n">
        <v>164</v>
      </c>
      <c r="B165" s="2" t="inlineStr">
        <is>
          <t>SH-01.3</t>
        </is>
      </c>
      <c r="C165" s="3" t="inlineStr">
        <is>
          <t>屏蔽</t>
        </is>
      </c>
      <c r="D165" s="3" t="inlineStr">
        <is>
          <t>屏蔽指示时限</t>
        </is>
      </c>
      <c r="E165" s="2" t="inlineStr">
        <is>
          <t>P1</t>
        </is>
      </c>
      <c r="F165" s="3" t="inlineStr">
        <is>
          <t>5.4.4.3</t>
        </is>
      </c>
      <c r="G165" s="3" t="inlineStr">
        <is>
          <t>（见父案步骤）</t>
        </is>
      </c>
      <c r="H165" s="3" t="inlineStr">
        <is>
          <t>≤10 s 启动屏蔽指示</t>
        </is>
      </c>
      <c r="I165" s="3" t="n"/>
      <c r="J165" s="2" t="inlineStr">
        <is>
          <t>通过</t>
        </is>
      </c>
      <c r="K165" s="2" t="n"/>
      <c r="L165" s="2" t="n"/>
      <c r="M165" s="3" t="n"/>
      <c r="N165" s="2" t="inlineStr">
        <is>
          <t>监控&amp;控制 / 屏蔽控制</t>
        </is>
      </c>
    </row>
    <row r="166">
      <c r="A166" s="2" t="n">
        <v>165</v>
      </c>
      <c r="B166" s="2" t="inlineStr">
        <is>
          <t>SH-01.4</t>
        </is>
      </c>
      <c r="C166" s="3" t="inlineStr">
        <is>
          <t>屏蔽</t>
        </is>
      </c>
      <c r="D166" s="3" t="inlineStr">
        <is>
          <t>总灯与屏蔽时间</t>
        </is>
      </c>
      <c r="E166" s="2" t="inlineStr">
        <is>
          <t>P1</t>
        </is>
      </c>
      <c r="F166" s="3" t="inlineStr">
        <is>
          <t>5.4.4.1</t>
        </is>
      </c>
      <c r="G166" s="3" t="inlineStr">
        <is>
          <t>（见父案步骤）</t>
        </is>
      </c>
      <c r="H166" s="3" t="inlineStr">
        <is>
          <t>屏蔽总指示灯亮并显示屏蔽时间（＝设定时刻非时长；存储必含年月日时分秒·附录 B 表 B.2，显示至少到年月日时分——只显时分则防遗忘功能作废）</t>
        </is>
      </c>
      <c r="I166" s="3" t="n"/>
      <c r="J166" s="2" t="inlineStr">
        <is>
          <t>通过</t>
        </is>
      </c>
      <c r="K166" s="2" t="n"/>
      <c r="L166" s="2" t="n"/>
      <c r="M166" s="3" t="n"/>
      <c r="N166" s="2" t="inlineStr">
        <is>
          <t>监控&amp;控制 / 屏蔽控制</t>
        </is>
      </c>
    </row>
    <row r="167">
      <c r="A167" s="2" t="n">
        <v>166</v>
      </c>
      <c r="B167" s="2" t="inlineStr">
        <is>
          <t>SH-02</t>
        </is>
      </c>
      <c r="C167" s="3" t="inlineStr">
        <is>
          <t>屏蔽</t>
        </is>
      </c>
      <c r="D167" s="3" t="n"/>
      <c r="E167" s="2" t="inlineStr">
        <is>
          <t>P1</t>
        </is>
      </c>
      <c r="F167" s="3" t="inlineStr">
        <is>
          <t>5.4.4.5/5.4.4.6</t>
        </is>
      </c>
      <c r="G167" s="3" t="inlineStr">
        <is>
          <t>屏蔽层级显示（合并边界）（总案）——逐个屏蔽同一探测区/回路内全部部位，沿边界测三个判定点。”回路被屏蔽"＝屏蔽列表里的聚合合并行（一行代表整条回路），合并条件是严格全集（防夸大合并：199/200 屏了仍须逐点/按区列出）</t>
        </is>
      </c>
      <c r="H167" s="3" t="inlineStr">
        <is>
          <t>见子项</t>
        </is>
      </c>
      <c r="I167" s="3" t="n"/>
      <c r="J167" s="2" t="inlineStr">
        <is>
          <t>不适用</t>
        </is>
      </c>
      <c r="K167" s="2" t="n"/>
      <c r="L167" s="2" t="n"/>
      <c r="M167" s="3" t="n"/>
      <c r="N167" s="2" t="inlineStr">
        <is>
          <t>监控&amp;控制 / 屏蔽控制</t>
        </is>
      </c>
    </row>
    <row r="168">
      <c r="A168" s="2" t="n">
        <v>167</v>
      </c>
      <c r="B168" s="2" t="inlineStr">
        <is>
          <t>SH-02.1</t>
        </is>
      </c>
      <c r="C168" s="3" t="inlineStr">
        <is>
          <t>屏蔽</t>
        </is>
      </c>
      <c r="D168" s="3" t="inlineStr">
        <is>
          <t>N-1 不合并</t>
        </is>
      </c>
      <c r="E168" s="2" t="inlineStr">
        <is>
          <t>P1</t>
        </is>
      </c>
      <c r="F168" s="3" t="inlineStr">
        <is>
          <t>5.4.4.5/5.4.4.6</t>
        </is>
      </c>
      <c r="G168" s="3" t="inlineStr">
        <is>
          <t>（见父案步骤）</t>
        </is>
      </c>
      <c r="H168" s="3" t="inlineStr">
        <is>
          <t>① 屏到 N-1 个时不许出现合并行</t>
        </is>
      </c>
      <c r="I168" s="3" t="n"/>
      <c r="J168" s="2" t="inlineStr">
        <is>
          <t>不适用</t>
        </is>
      </c>
      <c r="K168" s="2" t="n"/>
      <c r="L168" s="2" t="n"/>
      <c r="M168" s="3" t="n"/>
      <c r="N168" s="2" t="inlineStr">
        <is>
          <t>监控&amp;控制 / 屏蔽控制</t>
        </is>
      </c>
    </row>
    <row r="169">
      <c r="A169" s="2" t="n">
        <v>168</v>
      </c>
      <c r="B169" s="2" t="inlineStr">
        <is>
          <t>SH-02.2</t>
        </is>
      </c>
      <c r="C169" s="3" t="inlineStr">
        <is>
          <t>屏蔽</t>
        </is>
      </c>
      <c r="D169" s="3" t="inlineStr">
        <is>
          <t>全集才合并</t>
        </is>
      </c>
      <c r="E169" s="2" t="inlineStr">
        <is>
          <t>P1</t>
        </is>
      </c>
      <c r="F169" s="3" t="inlineStr">
        <is>
          <t>5.4.4.5/5.4.4.6</t>
        </is>
      </c>
      <c r="G169" s="3" t="inlineStr">
        <is>
          <t>（见父案步骤）</t>
        </is>
      </c>
      <c r="H169" s="3" t="inlineStr">
        <is>
          <t>② 全集达成才合并</t>
        </is>
      </c>
      <c r="I169" s="3" t="n"/>
      <c r="J169" s="2" t="inlineStr">
        <is>
          <t>不适用</t>
        </is>
      </c>
      <c r="K169" s="2" t="n"/>
      <c r="L169" s="2" t="n"/>
      <c r="M169" s="3" t="n"/>
      <c r="N169" s="2" t="inlineStr">
        <is>
          <t>监控&amp;控制 / 屏蔽控制</t>
        </is>
      </c>
    </row>
    <row r="170">
      <c r="A170" s="2" t="n">
        <v>169</v>
      </c>
      <c r="B170" s="2" t="inlineStr">
        <is>
          <t>SH-02.3</t>
        </is>
      </c>
      <c r="C170" s="3" t="inlineStr">
        <is>
          <t>屏蔽</t>
        </is>
      </c>
      <c r="D170" s="3" t="inlineStr">
        <is>
          <t>解除即退化</t>
        </is>
      </c>
      <c r="E170" s="2" t="inlineStr">
        <is>
          <t>P1</t>
        </is>
      </c>
      <c r="F170" s="3" t="inlineStr">
        <is>
          <t>5.4.4.5/5.4.4.6</t>
        </is>
      </c>
      <c r="G170" s="3" t="inlineStr">
        <is>
          <t>（见父案步骤）</t>
        </is>
      </c>
      <c r="H170" s="3" t="inlineStr">
        <is>
          <t>③ 解除任意 1 个立即退化回逐点/区级</t>
        </is>
      </c>
      <c r="I170" s="3" t="n"/>
      <c r="J170" s="2" t="inlineStr">
        <is>
          <t>不适用</t>
        </is>
      </c>
      <c r="K170" s="2" t="n"/>
      <c r="L170" s="2" t="n"/>
      <c r="M170" s="3" t="n"/>
      <c r="N170" s="2" t="inlineStr">
        <is>
          <t>监控&amp;控制 / 屏蔽控制</t>
        </is>
      </c>
    </row>
    <row r="171">
      <c r="A171" s="2" t="n">
        <v>170</v>
      </c>
      <c r="B171" s="2" t="inlineStr">
        <is>
          <t>SH-02.4</t>
        </is>
      </c>
      <c r="C171" s="3" t="inlineStr">
        <is>
          <t>屏蔽</t>
        </is>
      </c>
      <c r="D171" s="3" t="inlineStr">
        <is>
          <t>合并仅显示层</t>
        </is>
      </c>
      <c r="E171" s="2" t="inlineStr">
        <is>
          <t>P1</t>
        </is>
      </c>
      <c r="F171" s="3" t="inlineStr">
        <is>
          <t>附录 B</t>
        </is>
      </c>
      <c r="G171" s="3" t="inlineStr">
        <is>
          <t>（见父案步骤）</t>
        </is>
      </c>
      <c r="H171" s="3" t="inlineStr">
        <is>
          <t>合并仅发生在显示层——黑匣子/上报仍逐点记（事件 72/73）</t>
        </is>
      </c>
      <c r="I171" s="3" t="n"/>
      <c r="J171" s="2" t="inlineStr">
        <is>
          <t>不适用</t>
        </is>
      </c>
      <c r="K171" s="2" t="n"/>
      <c r="L171" s="2" t="n"/>
      <c r="M171" s="3" t="n"/>
      <c r="N171" s="2" t="inlineStr">
        <is>
          <t>监控&amp;控制 / 屏蔽控制</t>
        </is>
      </c>
    </row>
    <row r="172">
      <c r="A172" s="2" t="n">
        <v>171</v>
      </c>
      <c r="B172" s="2" t="inlineStr">
        <is>
          <t>SH-03</t>
        </is>
      </c>
      <c r="C172" s="3" t="inlineStr">
        <is>
          <t>屏蔽</t>
        </is>
      </c>
      <c r="D172" s="3" t="n"/>
      <c r="E172" s="2" t="inlineStr">
        <is>
          <t>P1</t>
        </is>
      </c>
      <c r="F172" s="3" t="inlineStr">
        <is>
          <t>5.4.4.7 ↔ 6.6.3</t>
        </is>
      </c>
      <c r="G172" s="3" t="inlineStr">
        <is>
          <t>屏蔽状态持久性（总案）——屏蔽后执行复位、主备电断电重启</t>
        </is>
      </c>
      <c r="H172" s="3" t="inlineStr">
        <is>
          <t>见子项</t>
        </is>
      </c>
      <c r="I172" s="3" t="n"/>
      <c r="J172" s="2" t="inlineStr">
        <is>
          <t>通过</t>
        </is>
      </c>
      <c r="K172" s="2" t="n"/>
      <c r="L172" s="2" t="n"/>
      <c r="M172" s="3" t="n"/>
      <c r="N172" s="2" t="inlineStr">
        <is>
          <t>监控&amp;控制 / 屏蔽控制</t>
        </is>
      </c>
    </row>
    <row r="173">
      <c r="A173" s="2" t="n">
        <v>172</v>
      </c>
      <c r="B173" s="2" t="inlineStr">
        <is>
          <t>SH-03.1</t>
        </is>
      </c>
      <c r="C173" s="3" t="inlineStr">
        <is>
          <t>屏蔽</t>
        </is>
      </c>
      <c r="D173" s="3" t="inlineStr">
        <is>
          <t>复位不清屏蔽</t>
        </is>
      </c>
      <c r="E173" s="2" t="inlineStr">
        <is>
          <t>P1</t>
        </is>
      </c>
      <c r="F173" s="3" t="inlineStr">
        <is>
          <t>5.4.4.7</t>
        </is>
      </c>
      <c r="G173" s="3" t="inlineStr">
        <is>
          <t>（见父案步骤）</t>
        </is>
      </c>
      <c r="H173" s="3" t="inlineStr">
        <is>
          <t>屏蔽状态不受复位影响</t>
        </is>
      </c>
      <c r="I173" s="3" t="n"/>
      <c r="J173" s="2" t="inlineStr">
        <is>
          <t>通过</t>
        </is>
      </c>
      <c r="K173" s="2" t="n"/>
      <c r="L173" s="2" t="n"/>
      <c r="M173" s="3" t="n"/>
      <c r="N173" s="2" t="inlineStr">
        <is>
          <t>监控&amp;控制 / 屏蔽控制</t>
        </is>
      </c>
    </row>
    <row r="174">
      <c r="A174" s="2" t="n">
        <v>173</v>
      </c>
      <c r="B174" s="2" t="inlineStr">
        <is>
          <t>SH-03.2</t>
        </is>
      </c>
      <c r="C174" s="3" t="inlineStr">
        <is>
          <t>屏蔽</t>
        </is>
      </c>
      <c r="D174" s="3" t="inlineStr">
        <is>
          <t>开关机不清屏蔽</t>
        </is>
      </c>
      <c r="E174" s="2" t="inlineStr">
        <is>
          <t>P1</t>
        </is>
      </c>
      <c r="F174" s="3" t="inlineStr">
        <is>
          <t>5.4.4.7</t>
        </is>
      </c>
      <c r="G174" s="3" t="inlineStr">
        <is>
          <t>（见父案步骤）</t>
        </is>
      </c>
      <c r="H174" s="3" t="inlineStr">
        <is>
          <t>屏蔽状态不受开关机（主备电断电重启）影响</t>
        </is>
      </c>
      <c r="I174" s="3" t="n"/>
      <c r="J174" s="2" t="inlineStr">
        <is>
          <t>通过</t>
        </is>
      </c>
      <c r="K174" s="2" t="n"/>
      <c r="L174" s="2" t="n"/>
      <c r="M174" s="3" t="n"/>
      <c r="N174" s="2" t="inlineStr">
        <is>
          <t>监控&amp;控制 / 屏蔽控制</t>
        </is>
      </c>
    </row>
    <row r="175">
      <c r="A175" s="2" t="n">
        <v>174</v>
      </c>
      <c r="B175" s="2" t="inlineStr">
        <is>
          <t>SH-04</t>
        </is>
      </c>
      <c r="C175" s="3" t="inlineStr">
        <is>
          <t>屏蔽</t>
        </is>
      </c>
      <c r="D175" s="3" t="n"/>
      <c r="E175" s="2" t="inlineStr">
        <is>
          <t>P1</t>
        </is>
      </c>
      <c r="F175" s="3" t="inlineStr">
        <is>
          <t>↔ 6.6.5</t>
        </is>
      </c>
      <c r="G175" s="3" t="inlineStr">
        <is>
          <t>屏蔽不影响其他部位（总案）——屏蔽某部位后使非屏蔽部位报火警</t>
        </is>
      </c>
      <c r="H175" s="3" t="inlineStr">
        <is>
          <t>见子项</t>
        </is>
      </c>
      <c r="I175" s="3" t="n"/>
      <c r="J175" s="2" t="inlineStr">
        <is>
          <t>通过</t>
        </is>
      </c>
      <c r="K175" s="2" t="n"/>
      <c r="L175" s="2" t="n"/>
      <c r="M175" s="3" t="n"/>
      <c r="N175" s="2" t="inlineStr">
        <is>
          <t>监控&amp;控制 / 屏蔽控制</t>
        </is>
      </c>
    </row>
    <row r="176">
      <c r="A176" s="2" t="n">
        <v>175</v>
      </c>
      <c r="B176" s="2" t="inlineStr">
        <is>
          <t>SH-04.1</t>
        </is>
      </c>
      <c r="C176" s="3" t="inlineStr">
        <is>
          <t>屏蔽</t>
        </is>
      </c>
      <c r="D176" s="3" t="inlineStr">
        <is>
          <t>非屏蔽正常报警</t>
        </is>
      </c>
      <c r="E176" s="2" t="inlineStr">
        <is>
          <t>P1</t>
        </is>
      </c>
      <c r="F176" s="3" t="inlineStr">
        <is>
          <t>↔ 6.6.5</t>
        </is>
      </c>
      <c r="G176" s="3" t="inlineStr">
        <is>
          <t>（见父案步骤）</t>
        </is>
      </c>
      <c r="H176" s="3" t="inlineStr">
        <is>
          <t>非屏蔽部位正常报警</t>
        </is>
      </c>
      <c r="I176" s="3" t="n"/>
      <c r="J176" s="2" t="inlineStr">
        <is>
          <t>通过</t>
        </is>
      </c>
      <c r="K176" s="2" t="n"/>
      <c r="L176" s="2" t="n"/>
      <c r="M176" s="3" t="n"/>
      <c r="N176" s="2" t="inlineStr">
        <is>
          <t>监控&amp;控制 / 屏蔽控制</t>
        </is>
      </c>
    </row>
    <row r="177">
      <c r="A177" s="2" t="n">
        <v>176</v>
      </c>
      <c r="B177" s="2" t="inlineStr">
        <is>
          <t>SH-04.2</t>
        </is>
      </c>
      <c r="C177" s="3" t="inlineStr">
        <is>
          <t>屏蔽</t>
        </is>
      </c>
      <c r="D177" s="3" t="inlineStr">
        <is>
          <t>屏蔽显示不丢失</t>
        </is>
      </c>
      <c r="E177" s="2" t="inlineStr">
        <is>
          <t>P1</t>
        </is>
      </c>
      <c r="F177" s="3" t="inlineStr">
        <is>
          <t>↔ 6.6.5</t>
        </is>
      </c>
      <c r="G177" s="3" t="inlineStr">
        <is>
          <t>（见父案步骤）</t>
        </is>
      </c>
      <c r="H177" s="3" t="inlineStr">
        <is>
          <t>屏蔽显示不丢失</t>
        </is>
      </c>
      <c r="I177" s="3" t="n"/>
      <c r="J177" s="2" t="inlineStr">
        <is>
          <t>通过</t>
        </is>
      </c>
      <c r="K177" s="2" t="n"/>
      <c r="L177" s="2" t="n"/>
      <c r="M177" s="3" t="n"/>
      <c r="N177" s="2" t="inlineStr">
        <is>
          <t>监控&amp;控制 / 屏蔽控制</t>
        </is>
      </c>
    </row>
    <row r="178">
      <c r="A178" s="2" t="n">
        <v>177</v>
      </c>
      <c r="B178" s="2" t="inlineStr">
        <is>
          <t>SH-05</t>
        </is>
      </c>
      <c r="C178" s="3" t="inlineStr">
        <is>
          <t>屏蔽</t>
        </is>
      </c>
      <c r="D178" s="3" t="n"/>
      <c r="E178" s="2" t="inlineStr">
        <is>
          <t>P1</t>
        </is>
      </c>
      <c r="F178" s="3" t="inlineStr">
        <is>
          <t>5.4.4.4 ↔ 6.6.4</t>
        </is>
      </c>
      <c r="G178" s="3" t="inlineStr">
        <is>
          <t>屏蔽信息查询与解除（总案）——屏蔽多个部位至显示区不足；逐一解除</t>
        </is>
      </c>
      <c r="H178" s="3" t="inlineStr">
        <is>
          <t>见子项</t>
        </is>
      </c>
      <c r="I178" s="3" t="n"/>
      <c r="J178" s="2" t="inlineStr">
        <is>
          <t>通过</t>
        </is>
      </c>
      <c r="K178" s="2" t="n"/>
      <c r="L178" s="2" t="inlineStr">
        <is>
          <t>2026-09-03</t>
        </is>
      </c>
      <c r="M178" s="3" t="inlineStr">
        <is>
          <t>子项.1 待条件；.2 单独解除可测</t>
        </is>
      </c>
      <c r="N178" s="2" t="inlineStr">
        <is>
          <t>监控&amp;控制 / 屏蔽控制</t>
        </is>
      </c>
    </row>
    <row r="179">
      <c r="A179" s="2" t="n">
        <v>178</v>
      </c>
      <c r="B179" s="2" t="inlineStr">
        <is>
          <t>SH-05.1</t>
        </is>
      </c>
      <c r="C179" s="3" t="inlineStr">
        <is>
          <t>屏蔽</t>
        </is>
      </c>
      <c r="D179" s="3" t="inlineStr">
        <is>
          <t>超屏显示与可查</t>
        </is>
      </c>
      <c r="E179" s="2" t="inlineStr">
        <is>
          <t>P1</t>
        </is>
      </c>
      <c r="F179" s="3" t="inlineStr">
        <is>
          <t>5.4.4.4</t>
        </is>
      </c>
      <c r="G179" s="3" t="inlineStr">
        <is>
          <t>（见父案步骤）</t>
        </is>
      </c>
      <c r="H179" s="3" t="inlineStr">
        <is>
          <t>显示最新屏蔽信息、其余可查</t>
        </is>
      </c>
      <c r="I179" s="3" t="n"/>
      <c r="J179" s="2" t="inlineStr">
        <is>
          <t>通过</t>
        </is>
      </c>
      <c r="K179" s="2" t="n"/>
      <c r="L179" s="2" t="inlineStr">
        <is>
          <t>2026-09-03</t>
        </is>
      </c>
      <c r="M179" s="3" t="inlineStr">
        <is>
          <t>待条件：需可屏蔽部位数＞同屏显示条数（现仅烟感/模块/声光3个部位）</t>
        </is>
      </c>
      <c r="N179" s="2" t="inlineStr">
        <is>
          <t>监控&amp;控制 / 屏蔽控制</t>
        </is>
      </c>
    </row>
    <row r="180">
      <c r="A180" s="2" t="n">
        <v>179</v>
      </c>
      <c r="B180" s="2" t="inlineStr">
        <is>
          <t>SH-05.2</t>
        </is>
      </c>
      <c r="C180" s="3" t="inlineStr">
        <is>
          <t>屏蔽</t>
        </is>
      </c>
      <c r="D180" s="3" t="inlineStr">
        <is>
          <t>单独解除</t>
        </is>
      </c>
      <c r="E180" s="2" t="inlineStr">
        <is>
          <t>P1</t>
        </is>
      </c>
      <c r="F180" s="3" t="inlineStr">
        <is>
          <t>5.4.4.4</t>
        </is>
      </c>
      <c r="G180" s="3" t="inlineStr">
        <is>
          <t>（见父案步骤）</t>
        </is>
      </c>
      <c r="H180" s="3" t="inlineStr">
        <is>
          <t>可单独解除</t>
        </is>
      </c>
      <c r="I180" s="3" t="inlineStr">
        <is>
          <t>可以解除，但是解除报的信息是红色的【设备处于未屏蔽状态】</t>
        </is>
      </c>
      <c r="J180" s="2" t="inlineStr">
        <is>
          <t>通过</t>
        </is>
      </c>
      <c r="K180" s="2" t="n"/>
      <c r="L180" s="2" t="inlineStr">
        <is>
          <t>2026-09-03</t>
        </is>
      </c>
      <c r="M180" s="3" t="n"/>
      <c r="N180" s="2" t="inlineStr">
        <is>
          <t>监控&amp;控制 / 屏蔽控制</t>
        </is>
      </c>
    </row>
    <row r="181">
      <c r="A181" s="2" t="n">
        <v>180</v>
      </c>
      <c r="B181" s="2" t="inlineStr">
        <is>
          <t>SV-01</t>
        </is>
      </c>
      <c r="C181" s="3" t="inlineStr">
        <is>
          <t>监管报警</t>
        </is>
      </c>
      <c r="D181" s="3" t="n"/>
      <c r="E181" s="2" t="inlineStr">
        <is>
          <t>P1</t>
        </is>
      </c>
      <c r="F181" s="3" t="inlineStr">
        <is>
          <t>5.4.5.1/5.4.5.2</t>
        </is>
      </c>
      <c r="G181" s="3" t="inlineStr">
        <is>
          <t>监管报警响应（总案）——输入监管信号（如信号阀限位开关动作），计时；另测与火警并存：监管存在时使另一部位报火警</t>
        </is>
      </c>
      <c r="H181" s="3" t="inlineStr">
        <is>
          <t>见子项</t>
        </is>
      </c>
      <c r="I181" s="3" t="n"/>
      <c r="J181" s="2" t="inlineStr">
        <is>
          <t>待测</t>
        </is>
      </c>
      <c r="K181" s="2" t="n"/>
      <c r="L181" s="2" t="n"/>
      <c r="M181" s="3" t="inlineStr">
        <is>
          <t>监管源以输入模块无源触点模拟（需固件支持监管型输入）</t>
        </is>
      </c>
      <c r="N181" s="2" t="n"/>
    </row>
    <row r="182">
      <c r="A182" s="2" t="n">
        <v>181</v>
      </c>
      <c r="B182" s="2" t="inlineStr">
        <is>
          <t>SV-01.1</t>
        </is>
      </c>
      <c r="C182" s="3" t="inlineStr">
        <is>
          <t>监管报警</t>
        </is>
      </c>
      <c r="D182" s="3" t="inlineStr">
        <is>
          <t>监管声光时限</t>
        </is>
      </c>
      <c r="E182" s="2" t="inlineStr">
        <is>
          <t>P1</t>
        </is>
      </c>
      <c r="F182" s="3" t="inlineStr">
        <is>
          <t>5.4.5.1</t>
        </is>
      </c>
      <c r="G182" s="3" t="inlineStr">
        <is>
          <t>（见父案步骤）</t>
        </is>
      </c>
      <c r="H182" s="3" t="inlineStr">
        <is>
          <t>≤100 s 发出与火警有明显区别的监管声光</t>
        </is>
      </c>
      <c r="I182" s="3" t="n"/>
      <c r="J182" s="2" t="inlineStr">
        <is>
          <t>待测</t>
        </is>
      </c>
      <c r="K182" s="2" t="n"/>
      <c r="L182" s="2" t="n"/>
      <c r="M182" s="3" t="n"/>
      <c r="N182" s="2" t="n"/>
    </row>
    <row r="183">
      <c r="A183" s="2" t="n">
        <v>182</v>
      </c>
      <c r="B183" s="2" t="inlineStr">
        <is>
          <t>SV-01.2</t>
        </is>
      </c>
      <c r="C183" s="3" t="inlineStr">
        <is>
          <t>监管报警</t>
        </is>
      </c>
      <c r="D183" s="3" t="inlineStr">
        <is>
          <t>监管总灯</t>
        </is>
      </c>
      <c r="E183" s="2" t="inlineStr">
        <is>
          <t>P1</t>
        </is>
      </c>
      <c r="F183" s="3" t="inlineStr">
        <is>
          <t>5.4.5.1</t>
        </is>
      </c>
      <c r="G183" s="3" t="inlineStr">
        <is>
          <t>（见父案步骤）</t>
        </is>
      </c>
      <c r="H183" s="3" t="inlineStr">
        <is>
          <t>监管总指示灯亮（红，11 灯序列独立灯位）</t>
        </is>
      </c>
      <c r="I183" s="3" t="n"/>
      <c r="J183" s="2" t="inlineStr">
        <is>
          <t>待测</t>
        </is>
      </c>
      <c r="K183" s="2" t="n"/>
      <c r="L183" s="2" t="n"/>
      <c r="M183" s="3" t="n"/>
      <c r="N183" s="2" t="n"/>
    </row>
    <row r="184">
      <c r="A184" s="2" t="n">
        <v>183</v>
      </c>
      <c r="B184" s="2" t="inlineStr">
        <is>
          <t>SV-01.3</t>
        </is>
      </c>
      <c r="C184" s="3" t="inlineStr">
        <is>
          <t>监管报警</t>
        </is>
      </c>
      <c r="D184" s="3" t="inlineStr">
        <is>
          <t>时间显示</t>
        </is>
      </c>
      <c r="E184" s="2" t="inlineStr">
        <is>
          <t>P1</t>
        </is>
      </c>
      <c r="F184" s="3" t="inlineStr">
        <is>
          <t>5.4.5.1</t>
        </is>
      </c>
      <c r="G184" s="3" t="inlineStr">
        <is>
          <t>（见父案步骤）</t>
        </is>
      </c>
      <c r="H184" s="3" t="inlineStr">
        <is>
          <t>显示监管报警时间</t>
        </is>
      </c>
      <c r="I184" s="3" t="n"/>
      <c r="J184" s="2" t="inlineStr">
        <is>
          <t>待测</t>
        </is>
      </c>
      <c r="K184" s="2" t="n"/>
      <c r="L184" s="2" t="n"/>
      <c r="M184" s="3" t="n"/>
      <c r="N184" s="2" t="n"/>
    </row>
    <row r="185">
      <c r="A185" s="2" t="n">
        <v>184</v>
      </c>
      <c r="B185" s="2" t="inlineStr">
        <is>
          <t>SV-01.4</t>
        </is>
      </c>
      <c r="C185" s="3" t="inlineStr">
        <is>
          <t>监管报警</t>
        </is>
      </c>
      <c r="D185" s="3" t="inlineStr">
        <is>
          <t>与火警总灯并存</t>
        </is>
      </c>
      <c r="E185" s="2" t="inlineStr">
        <is>
          <t>P1</t>
        </is>
      </c>
      <c r="F185" s="3" t="inlineStr">
        <is>
          <t>5.4.5.1</t>
        </is>
      </c>
      <c r="G185" s="3" t="inlineStr">
        <is>
          <t>（见父案步骤）</t>
        </is>
      </c>
      <c r="H185" s="3" t="inlineStr">
        <is>
          <t>与火警并存时两盏总灯同时亮互不遮蔽（"无条件灯"公式）</t>
        </is>
      </c>
      <c r="I185" s="3" t="n"/>
      <c r="J185" s="2" t="inlineStr">
        <is>
          <t>待测</t>
        </is>
      </c>
      <c r="K185" s="2" t="n"/>
      <c r="L185" s="2" t="n"/>
      <c r="M185" s="3" t="n"/>
      <c r="N185" s="2" t="n"/>
    </row>
    <row r="186">
      <c r="A186" s="2" t="n">
        <v>185</v>
      </c>
      <c r="B186" s="2" t="inlineStr">
        <is>
          <t>SV-01.5</t>
        </is>
      </c>
      <c r="C186" s="3" t="inlineStr">
        <is>
          <t>监管报警</t>
        </is>
      </c>
      <c r="D186" s="3" t="inlineStr">
        <is>
          <t>详细信息可查</t>
        </is>
      </c>
      <c r="E186" s="2" t="inlineStr">
        <is>
          <t>P1</t>
        </is>
      </c>
      <c r="F186" s="3" t="inlineStr">
        <is>
          <t>5.4.7</t>
        </is>
      </c>
      <c r="G186" s="3" t="inlineStr">
        <is>
          <t>（见父案步骤）</t>
        </is>
      </c>
      <c r="H186" s="3" t="inlineStr">
        <is>
          <t>监管详细信息可被火警暂缓显示但可查（显示等级第 4）</t>
        </is>
      </c>
      <c r="I186" s="3" t="n"/>
      <c r="J186" s="2" t="inlineStr">
        <is>
          <t>待测</t>
        </is>
      </c>
      <c r="K186" s="2" t="n"/>
      <c r="L186" s="2" t="n"/>
      <c r="M186" s="3" t="n"/>
      <c r="N186" s="2" t="n"/>
    </row>
    <row r="187">
      <c r="A187" s="2" t="n">
        <v>186</v>
      </c>
      <c r="B187" s="2" t="inlineStr">
        <is>
          <t>SV-01.6</t>
        </is>
      </c>
      <c r="C187" s="3" t="inlineStr">
        <is>
          <t>监管报警</t>
        </is>
      </c>
      <c r="D187" s="3" t="inlineStr">
        <is>
          <t>声音并存口径</t>
        </is>
      </c>
      <c r="E187" s="2" t="inlineStr">
        <is>
          <t>P1</t>
        </is>
      </c>
      <c r="F187" s="3" t="inlineStr">
        <is>
          <t>自定口径</t>
        </is>
      </c>
      <c r="G187" s="3" t="inlineStr">
        <is>
          <t>（见父案步骤）</t>
        </is>
      </c>
      <c r="H187" s="3" t="inlineStr">
        <is>
          <t>声音并存口径（标准留白，自定并标注）：同一蜂鸣器按显示等级取最高＝火警声覆盖监管声，监管光照常保持</t>
        </is>
      </c>
      <c r="I187" s="3" t="n"/>
      <c r="J187" s="2" t="inlineStr">
        <is>
          <t>待测</t>
        </is>
      </c>
      <c r="K187" s="2" t="n"/>
      <c r="L187" s="2" t="n"/>
      <c r="M187" s="3" t="n"/>
      <c r="N187" s="2" t="n"/>
    </row>
    <row r="188">
      <c r="A188" s="2" t="n">
        <v>187</v>
      </c>
      <c r="B188" s="2" t="inlineStr">
        <is>
          <t>SV-02</t>
        </is>
      </c>
      <c r="C188" s="3" t="inlineStr">
        <is>
          <t>监管报警</t>
        </is>
      </c>
      <c r="D188" s="3" t="n"/>
      <c r="E188" s="2" t="inlineStr">
        <is>
          <t>P1</t>
        </is>
      </c>
      <c r="F188" s="3" t="inlineStr">
        <is>
          <t>5.4.5.2</t>
        </is>
      </c>
      <c r="G188" s="3" t="inlineStr">
        <is>
          <t>监管消音/复位/重建（总案）——消音→新监管信号；监管源保持时复位</t>
        </is>
      </c>
      <c r="H188" s="3" t="inlineStr">
        <is>
          <t>见子项</t>
        </is>
      </c>
      <c r="I188" s="3" t="n"/>
      <c r="J188" s="2" t="inlineStr">
        <is>
          <t>待测</t>
        </is>
      </c>
      <c r="K188" s="2" t="n"/>
      <c r="L188" s="2" t="n"/>
      <c r="M188" s="3" t="n"/>
      <c r="N188" s="2" t="n"/>
    </row>
    <row r="189">
      <c r="A189" s="2" t="n">
        <v>188</v>
      </c>
      <c r="B189" s="2" t="inlineStr">
        <is>
          <t>SV-02.1</t>
        </is>
      </c>
      <c r="C189" s="3" t="inlineStr">
        <is>
          <t>监管报警</t>
        </is>
      </c>
      <c r="D189" s="3" t="inlineStr">
        <is>
          <t>声可消</t>
        </is>
      </c>
      <c r="E189" s="2" t="inlineStr">
        <is>
          <t>P1</t>
        </is>
      </c>
      <c r="F189" s="3" t="inlineStr">
        <is>
          <t>5.4.5.2</t>
        </is>
      </c>
      <c r="G189" s="3" t="inlineStr">
        <is>
          <t>（见父案步骤）</t>
        </is>
      </c>
      <c r="H189" s="3" t="inlineStr">
        <is>
          <t>监管声可手动消除</t>
        </is>
      </c>
      <c r="I189" s="3" t="n"/>
      <c r="J189" s="2" t="inlineStr">
        <is>
          <t>待测</t>
        </is>
      </c>
      <c r="K189" s="2" t="n"/>
      <c r="L189" s="2" t="n"/>
      <c r="M189" s="3" t="n"/>
      <c r="N189" s="2" t="n"/>
    </row>
    <row r="190">
      <c r="A190" s="2" t="n">
        <v>189</v>
      </c>
      <c r="B190" s="2" t="inlineStr">
        <is>
          <t>SV-02.2</t>
        </is>
      </c>
      <c r="C190" s="3" t="inlineStr">
        <is>
          <t>监管报警</t>
        </is>
      </c>
      <c r="D190" s="3" t="inlineStr">
        <is>
          <t>新信号再启动</t>
        </is>
      </c>
      <c r="E190" s="2" t="inlineStr">
        <is>
          <t>P1</t>
        </is>
      </c>
      <c r="F190" s="3" t="inlineStr">
        <is>
          <t>5.4.5.2</t>
        </is>
      </c>
      <c r="G190" s="3" t="inlineStr">
        <is>
          <t>（见父案步骤）</t>
        </is>
      </c>
      <c r="H190" s="3" t="inlineStr">
        <is>
          <t>新信号输入时声再启动</t>
        </is>
      </c>
      <c r="I190" s="3" t="n"/>
      <c r="J190" s="2" t="inlineStr">
        <is>
          <t>待测</t>
        </is>
      </c>
      <c r="K190" s="2" t="n"/>
      <c r="L190" s="2" t="n"/>
      <c r="M190" s="3" t="n"/>
      <c r="N190" s="2" t="n"/>
    </row>
    <row r="191">
      <c r="A191" s="2" t="n">
        <v>190</v>
      </c>
      <c r="B191" s="2" t="inlineStr">
        <is>
          <t>SV-02.3</t>
        </is>
      </c>
      <c r="C191" s="3" t="inlineStr">
        <is>
          <t>监管报警</t>
        </is>
      </c>
      <c r="D191" s="3" t="inlineStr">
        <is>
          <t>光保持</t>
        </is>
      </c>
      <c r="E191" s="2" t="inlineStr">
        <is>
          <t>P1</t>
        </is>
      </c>
      <c r="F191" s="3" t="inlineStr">
        <is>
          <t>5.4.5.2</t>
        </is>
      </c>
      <c r="G191" s="3" t="inlineStr">
        <is>
          <t>（见父案步骤）</t>
        </is>
      </c>
      <c r="H191" s="3" t="inlineStr">
        <is>
          <t>光保持至复位</t>
        </is>
      </c>
      <c r="I191" s="3" t="n"/>
      <c r="J191" s="2" t="inlineStr">
        <is>
          <t>待测</t>
        </is>
      </c>
      <c r="K191" s="2" t="n"/>
      <c r="L191" s="2" t="n"/>
      <c r="M191" s="3" t="n"/>
      <c r="N191" s="2" t="n"/>
    </row>
    <row r="192">
      <c r="A192" s="2" t="n">
        <v>191</v>
      </c>
      <c r="B192" s="2" t="inlineStr">
        <is>
          <t>SV-02.4</t>
        </is>
      </c>
      <c r="C192" s="3" t="inlineStr">
        <is>
          <t>监管报警</t>
        </is>
      </c>
      <c r="D192" s="3" t="inlineStr">
        <is>
          <t>复位后重建</t>
        </is>
      </c>
      <c r="E192" s="2" t="inlineStr">
        <is>
          <t>P1</t>
        </is>
      </c>
      <c r="F192" s="3" t="inlineStr">
        <is>
          <t>5.4.5.2</t>
        </is>
      </c>
      <c r="G192" s="3" t="inlineStr">
        <is>
          <t>（见父案步骤）</t>
        </is>
      </c>
      <c r="H192" s="3" t="inlineStr">
        <is>
          <t>复位后监管仍存在→保持或 ≤60 s 重新建立</t>
        </is>
      </c>
      <c r="I192" s="3" t="n"/>
      <c r="J192" s="2" t="inlineStr">
        <is>
          <t>待测</t>
        </is>
      </c>
      <c r="K192" s="2" t="n"/>
      <c r="L192" s="2" t="n"/>
      <c r="M192" s="3" t="n"/>
      <c r="N192" s="2" t="n"/>
    </row>
    <row r="193">
      <c r="A193" s="2" t="n">
        <v>192</v>
      </c>
      <c r="B193" s="2" t="inlineStr">
        <is>
          <t>SV-03</t>
        </is>
      </c>
      <c r="C193" s="3" t="inlineStr">
        <is>
          <t>监管报警</t>
        </is>
      </c>
      <c r="D193" s="3" t="inlineStr">
        <is>
          <t>监管信息查询</t>
        </is>
      </c>
      <c r="E193" s="2" t="inlineStr">
        <is>
          <t>P1</t>
        </is>
      </c>
      <c r="F193" s="3" t="inlineStr">
        <is>
          <t>5.4.5.3 ↔ 6.7.5</t>
        </is>
      </c>
      <c r="G193" s="3" t="inlineStr">
        <is>
          <t>增加监管信息至显示区不足</t>
        </is>
      </c>
      <c r="H193" s="3" t="inlineStr">
        <is>
          <t>未显示信息可手动查询</t>
        </is>
      </c>
      <c r="I193" s="3" t="n"/>
      <c r="J193" s="2" t="inlineStr">
        <is>
          <t>待测</t>
        </is>
      </c>
      <c r="K193" s="2" t="n"/>
      <c r="L193" s="2" t="n"/>
      <c r="M193" s="3" t="n"/>
      <c r="N193" s="2" t="n"/>
    </row>
    <row r="194">
      <c r="A194" s="2" t="n">
        <v>193</v>
      </c>
      <c r="B194" s="2" t="inlineStr">
        <is>
          <t>ST-01</t>
        </is>
      </c>
      <c r="C194" s="3" t="inlineStr">
        <is>
          <t>自检</t>
        </is>
      </c>
      <c r="D194" s="3" t="inlineStr">
        <is>
          <t>自检不动作输出</t>
        </is>
      </c>
      <c r="E194" s="2" t="inlineStr">
        <is>
          <t>P0</t>
        </is>
      </c>
      <c r="F194" s="3" t="inlineStr">
        <is>
          <t>5.4.6.1</t>
        </is>
      </c>
      <c r="G194" s="3" t="inlineStr">
        <is>
          <t>启动自检，监视所有外接设备与输出接点</t>
        </is>
      </c>
      <c r="H194" s="3" t="inlineStr">
        <is>
          <t>自检期间受控外接设备与输出接点均不动作</t>
        </is>
      </c>
      <c r="I194" s="3" t="n"/>
      <c r="J194" s="2" t="inlineStr">
        <is>
          <t>通过</t>
        </is>
      </c>
      <c r="K194" s="2" t="n"/>
      <c r="L194" s="2" t="n"/>
      <c r="M194" s="3" t="n"/>
      <c r="N194" s="2" t="n"/>
    </row>
    <row r="195">
      <c r="A195" s="2" t="n">
        <v>194</v>
      </c>
      <c r="B195" s="2" t="inlineStr">
        <is>
          <t>ST-02</t>
        </is>
      </c>
      <c r="C195" s="3" t="inlineStr">
        <is>
          <t>自检</t>
        </is>
      </c>
      <c r="D195" s="3" t="inlineStr">
        <is>
          <t>自检不阻断报警（仅严格档）</t>
        </is>
      </c>
      <c r="E195" s="2" t="inlineStr">
        <is>
          <t>P0</t>
        </is>
      </c>
      <c r="F195" s="3" t="inlineStr">
        <is>
          <t>5.4.6.1 ↔ 6.8.2</t>
        </is>
      </c>
      <c r="G195" s="3" t="inlineStr">
        <is>
          <t>本判据只适用于"自检 &gt;1 min 或不能自动停止"的严格档（6.8.2 原文"对于……的试样"）：在此类自检期间使非自检回路报火警</t>
        </is>
      </c>
      <c r="H195" s="3" t="inlineStr">
        <is>
          <t>非自检部位、探测区及控制器本身火警功能正常。防误杀：5.4.6.1 是有限豁免条款——≤1 min 且自动停止的自检准许短暂影响报警功能，在豁免窗口内塞火警发现响应降级不算不合格</t>
        </is>
      </c>
      <c r="I195" s="3" t="n"/>
      <c r="J195" s="2" t="inlineStr">
        <is>
          <t>通过</t>
        </is>
      </c>
      <c r="K195" s="2" t="n"/>
      <c r="L195" s="2" t="n"/>
      <c r="M195" s="3" t="n"/>
      <c r="N195" s="2" t="n"/>
    </row>
    <row r="196">
      <c r="A196" s="2" t="n">
        <v>195</v>
      </c>
      <c r="B196" s="2" t="inlineStr">
        <is>
          <t>ST-03</t>
        </is>
      </c>
      <c r="C196" s="3" t="inlineStr">
        <is>
          <t>自检</t>
        </is>
      </c>
      <c r="D196" s="3" t="inlineStr">
        <is>
          <t>指示灯/显示器/音响检查</t>
        </is>
      </c>
      <c r="E196" s="2" t="inlineStr">
        <is>
          <t>P0</t>
        </is>
      </c>
      <c r="F196" s="3" t="inlineStr">
        <is>
          <t>5.4.6.2 ↔ 6.8.3</t>
        </is>
      </c>
      <c r="G196" s="3" t="inlineStr">
        <is>
          <t>手动执行面板检查</t>
        </is>
      </c>
      <c r="H196" s="3" t="inlineStr">
        <is>
          <t>所有指示灯、显示器、声部件可手动检查</t>
        </is>
      </c>
      <c r="I196" s="3" t="n"/>
      <c r="J196" s="2" t="inlineStr">
        <is>
          <t>通过</t>
        </is>
      </c>
      <c r="K196" s="2" t="n"/>
      <c r="L196" s="2" t="n"/>
      <c r="M196" s="3" t="n"/>
      <c r="N196" s="2" t="n"/>
    </row>
    <row r="197">
      <c r="A197" s="2" t="n">
        <v>196</v>
      </c>
      <c r="B197" s="2" t="inlineStr">
        <is>
          <t>ST-05</t>
        </is>
      </c>
      <c r="C197" s="3" t="inlineStr">
        <is>
          <t>自检</t>
        </is>
      </c>
      <c r="D197" s="3" t="inlineStr">
        <is>
          <t>开机自检·故障优先显示</t>
        </is>
      </c>
      <c r="E197" s="2" t="inlineStr">
        <is>
          <t>P0</t>
        </is>
      </c>
      <c r="F197" s="3" t="inlineStr">
        <is>
          <t>现场补充</t>
        </is>
      </c>
      <c r="G197" s="3" t="inlineStr">
        <is>
          <t>开启控制器</t>
        </is>
      </c>
      <c r="H197" s="3" t="inlineStr">
        <is>
          <t>如果有故障，应该先显示故障列表</t>
        </is>
      </c>
      <c r="I197" s="3" t="inlineStr">
        <is>
          <t>现在卡到启动页面了</t>
        </is>
      </c>
      <c r="J197" s="7" t="inlineStr">
        <is>
          <t>不通过</t>
        </is>
      </c>
      <c r="K197" s="2" t="n"/>
      <c r="L197" s="2" t="inlineStr">
        <is>
          <t>2026-08-18</t>
        </is>
      </c>
      <c r="M197" s="3" t="inlineStr">
        <is>
          <t>现场实测补充用例</t>
        </is>
      </c>
      <c r="N197" s="2" t="n"/>
    </row>
    <row r="198">
      <c r="A198" s="2" t="n">
        <v>197</v>
      </c>
      <c r="B198" s="2" t="inlineStr">
        <is>
          <t>ST-04</t>
        </is>
      </c>
      <c r="C198" s="3" t="inlineStr">
        <is>
          <t>自检</t>
        </is>
      </c>
      <c r="D198" s="3" t="n"/>
      <c r="E198" s="2" t="inlineStr">
        <is>
          <t>P1</t>
        </is>
      </c>
      <c r="F198" s="3" t="inlineStr">
        <is>
          <t>5.4.6.3 ↔ 6.8.4～6.8.6</t>
        </is>
      </c>
      <c r="G198" s="3" t="inlineStr">
        <is>
          <t>分部位自检（总案）——对单个部位/探测区启动与解除自检（如具备）</t>
        </is>
      </c>
      <c r="H198" s="3" t="inlineStr">
        <is>
          <t>见子项</t>
        </is>
      </c>
      <c r="I198" s="3" t="n"/>
      <c r="J198" s="2" t="inlineStr">
        <is>
          <t>不适用</t>
        </is>
      </c>
      <c r="K198" s="2" t="n"/>
      <c r="L198" s="2" t="inlineStr">
        <is>
          <t>2026-08-19</t>
        </is>
      </c>
      <c r="M198" s="3" t="inlineStr">
        <is>
          <t>条件适用判定树：①菜单无分部位自检→全系不适用；②有功能且有自检总灯→照测；③有功能但无灯（面板11灯无自检位）→不通过。先查菜单再定</t>
        </is>
      </c>
      <c r="N198" s="2" t="n"/>
    </row>
    <row r="199">
      <c r="A199" s="2" t="n">
        <v>198</v>
      </c>
      <c r="B199" s="2" t="inlineStr">
        <is>
          <t>ST-04.1</t>
        </is>
      </c>
      <c r="C199" s="3" t="inlineStr">
        <is>
          <t>自检</t>
        </is>
      </c>
      <c r="D199" s="3" t="inlineStr">
        <is>
          <t>自检总灯</t>
        </is>
      </c>
      <c r="E199" s="2" t="inlineStr">
        <is>
          <t>P1</t>
        </is>
      </c>
      <c r="F199" s="3" t="inlineStr">
        <is>
          <t>5.4.6.3</t>
        </is>
      </c>
      <c r="G199" s="3" t="inlineStr">
        <is>
          <t>（见父案步骤）</t>
        </is>
      </c>
      <c r="H199" s="3" t="inlineStr">
        <is>
          <t>专用自检总指示灯点亮</t>
        </is>
      </c>
      <c r="I199" s="3" t="n"/>
      <c r="J199" s="2" t="inlineStr">
        <is>
          <t>不适用</t>
        </is>
      </c>
      <c r="K199" s="2" t="n"/>
      <c r="L199" s="2" t="n"/>
      <c r="M199" s="3" t="n"/>
      <c r="N199" s="2" t="n"/>
    </row>
    <row r="200">
      <c r="A200" s="2" t="n">
        <v>199</v>
      </c>
      <c r="B200" s="2" t="inlineStr">
        <is>
          <t>ST-04.2</t>
        </is>
      </c>
      <c r="C200" s="3" t="inlineStr">
        <is>
          <t>自检</t>
        </is>
      </c>
      <c r="D200" s="3" t="inlineStr">
        <is>
          <t>自检部位可查</t>
        </is>
      </c>
      <c r="E200" s="2" t="inlineStr">
        <is>
          <t>P0</t>
        </is>
      </c>
      <c r="F200" s="3" t="inlineStr">
        <is>
          <t>5.4.6.3</t>
        </is>
      </c>
      <c r="G200" s="3" t="inlineStr">
        <is>
          <t>（见父案步骤）</t>
        </is>
      </c>
      <c r="H200" s="3" t="inlineStr">
        <is>
          <t>自检部位可查</t>
        </is>
      </c>
      <c r="I200" s="3" t="n"/>
      <c r="J200" s="2" t="inlineStr">
        <is>
          <t>通过</t>
        </is>
      </c>
      <c r="K200" s="2" t="n"/>
      <c r="L200" s="2" t="n"/>
      <c r="M200" s="3" t="n"/>
      <c r="N200" s="2" t="n"/>
    </row>
    <row r="201">
      <c r="A201" s="2" t="n">
        <v>200</v>
      </c>
      <c r="B201" s="2" t="inlineStr">
        <is>
          <t>ST-04.3</t>
        </is>
      </c>
      <c r="C201" s="3" t="inlineStr">
        <is>
          <t>自检</t>
        </is>
      </c>
      <c r="D201" s="3" t="inlineStr">
        <is>
          <t>单独启动/解除</t>
        </is>
      </c>
      <c r="E201" s="2" t="inlineStr">
        <is>
          <t>P1</t>
        </is>
      </c>
      <c r="F201" s="3" t="inlineStr">
        <is>
          <t>5.4.6.3</t>
        </is>
      </c>
      <c r="G201" s="3" t="inlineStr">
        <is>
          <t>（见父案步骤）</t>
        </is>
      </c>
      <c r="H201" s="3" t="inlineStr">
        <is>
          <t>单独启动/解除</t>
        </is>
      </c>
      <c r="I201" s="3" t="n"/>
      <c r="J201" s="2" t="inlineStr">
        <is>
          <t>不适用</t>
        </is>
      </c>
      <c r="K201" s="2" t="n"/>
      <c r="L201" s="2" t="n"/>
      <c r="M201" s="3" t="n"/>
      <c r="N201" s="2" t="n"/>
    </row>
    <row r="202">
      <c r="A202" s="2" t="n">
        <v>201</v>
      </c>
      <c r="B202" s="2" t="inlineStr">
        <is>
          <t>ST-04.4</t>
        </is>
      </c>
      <c r="C202" s="3" t="inlineStr">
        <is>
          <t>自检</t>
        </is>
      </c>
      <c r="D202" s="3" t="inlineStr">
        <is>
          <t>不影响其他部位</t>
        </is>
      </c>
      <c r="E202" s="2" t="inlineStr">
        <is>
          <t>P0</t>
        </is>
      </c>
      <c r="F202" s="3" t="inlineStr">
        <is>
          <t>5.4.6.3</t>
        </is>
      </c>
      <c r="G202" s="3" t="inlineStr">
        <is>
          <t>（见父案步骤）</t>
        </is>
      </c>
      <c r="H202" s="3" t="inlineStr">
        <is>
          <t>不影响其他部位显示与输出（检查警报器功能除外）</t>
        </is>
      </c>
      <c r="I202" s="3" t="n"/>
      <c r="J202" s="2" t="inlineStr">
        <is>
          <t>通过</t>
        </is>
      </c>
      <c r="K202" s="2" t="n"/>
      <c r="L202" s="2" t="n"/>
      <c r="M202" s="3" t="n"/>
      <c r="N202" s="2" t="n"/>
    </row>
    <row r="203">
      <c r="A203" s="2" t="n">
        <v>202</v>
      </c>
      <c r="B203" s="2" t="inlineStr">
        <is>
          <t>DP-01</t>
        </is>
      </c>
      <c r="C203" s="3" t="inlineStr">
        <is>
          <t>显示与查询</t>
        </is>
      </c>
      <c r="D203" s="3" t="n"/>
      <c r="E203" s="2" t="inlineStr">
        <is>
          <t>P0</t>
        </is>
      </c>
      <c r="F203" s="3" t="inlineStr">
        <is>
          <t>5.4.7.1/5.4.7.2</t>
        </is>
      </c>
      <c r="G203" s="3" t="inlineStr">
        <is>
          <t>显示等级排序（总案）——使多类信息同时存在</t>
        </is>
      </c>
      <c r="H203" s="3" t="inlineStr">
        <is>
          <t>见子项</t>
        </is>
      </c>
      <c r="I203" s="3" t="n"/>
      <c r="J203" s="2" t="inlineStr">
        <is>
          <t>通过</t>
        </is>
      </c>
      <c r="K203" s="2" t="n"/>
      <c r="L203" s="2" t="n"/>
      <c r="M203" s="3" t="inlineStr">
        <is>
          <t>四类同存需4个部位，现3个外设可分多轮两两组合覆盖排序</t>
        </is>
      </c>
      <c r="N203" s="2" t="n"/>
    </row>
    <row r="204">
      <c r="A204" s="2" t="n">
        <v>203</v>
      </c>
      <c r="B204" s="2" t="inlineStr">
        <is>
          <t>DP-01.1</t>
        </is>
      </c>
      <c r="C204" s="3" t="inlineStr">
        <is>
          <t>显示与查询</t>
        </is>
      </c>
      <c r="D204" s="3" t="inlineStr">
        <is>
          <t>等级排序</t>
        </is>
      </c>
      <c r="E204" s="2" t="inlineStr">
        <is>
          <t>P0</t>
        </is>
      </c>
      <c r="F204" s="3" t="inlineStr">
        <is>
          <t>5.4.7.1</t>
        </is>
      </c>
      <c r="G204" s="3" t="inlineStr">
        <is>
          <t>（见父案步骤）</t>
        </is>
      </c>
      <c r="H204" s="3" t="inlineStr">
        <is>
          <t>无联动功能：火警 &gt; 监管 &gt; 故障 &gt; 屏蔽；有联动功能：火警 &gt; 启动 &gt; 反馈 &gt; 监管 &gt; 故障 &gt; 屏蔽</t>
        </is>
      </c>
      <c r="I204" s="3" t="n"/>
      <c r="J204" s="2" t="inlineStr">
        <is>
          <t>通过</t>
        </is>
      </c>
      <c r="K204" s="2" t="n"/>
      <c r="L204" s="2" t="n"/>
      <c r="M204" s="3" t="n"/>
      <c r="N204" s="2" t="n"/>
    </row>
    <row r="205">
      <c r="A205" s="2" t="n">
        <v>204</v>
      </c>
      <c r="B205" s="2" t="inlineStr">
        <is>
          <t>DP-01.2</t>
        </is>
      </c>
      <c r="C205" s="3" t="inlineStr">
        <is>
          <t>显示与查询</t>
        </is>
      </c>
      <c r="D205" s="3" t="inlineStr">
        <is>
          <t>高优先不覆盖</t>
        </is>
      </c>
      <c r="E205" s="2" t="inlineStr">
        <is>
          <t>P0</t>
        </is>
      </c>
      <c r="F205" s="3" t="inlineStr">
        <is>
          <t>5.4.7.2</t>
        </is>
      </c>
      <c r="G205" s="3" t="inlineStr">
        <is>
          <t>（见父案步骤）</t>
        </is>
      </c>
      <c r="H205" s="3" t="inlineStr">
        <is>
          <t>高等级优先、低等级不覆盖</t>
        </is>
      </c>
      <c r="I205" s="3" t="n"/>
      <c r="J205" s="2" t="inlineStr">
        <is>
          <t>通过</t>
        </is>
      </c>
      <c r="K205" s="2" t="n"/>
      <c r="L205" s="2" t="n"/>
      <c r="M205" s="3" t="n"/>
      <c r="N205" s="2" t="n"/>
    </row>
    <row r="206">
      <c r="A206" s="2" t="n">
        <v>205</v>
      </c>
      <c r="B206" s="2" t="inlineStr">
        <is>
          <t>DP-01.3</t>
        </is>
      </c>
      <c r="C206" s="3" t="inlineStr">
        <is>
          <t>显示与查询</t>
        </is>
      </c>
      <c r="D206" s="3" t="inlineStr">
        <is>
          <t>不交替显示</t>
        </is>
      </c>
      <c r="E206" s="2" t="inlineStr">
        <is>
          <t>P0</t>
        </is>
      </c>
      <c r="F206" s="3" t="inlineStr">
        <is>
          <t>5.4.7.2</t>
        </is>
      </c>
      <c r="G206" s="3" t="inlineStr">
        <is>
          <t>（见父案步骤）</t>
        </is>
      </c>
      <c r="H206" s="3" t="inlineStr">
        <is>
          <t>不交替显示</t>
        </is>
      </c>
      <c r="I206" s="3" t="n"/>
      <c r="J206" s="2" t="inlineStr">
        <is>
          <t>通过</t>
        </is>
      </c>
      <c r="K206" s="2" t="n"/>
      <c r="L206" s="2" t="n"/>
      <c r="M206" s="3" t="n"/>
      <c r="N206" s="2" t="n"/>
    </row>
    <row r="207">
      <c r="A207" s="2" t="n">
        <v>206</v>
      </c>
      <c r="B207" s="2" t="inlineStr">
        <is>
          <t>DP-02</t>
        </is>
      </c>
      <c r="C207" s="3" t="inlineStr">
        <is>
          <t>显示与查询</t>
        </is>
      </c>
      <c r="D207" s="3" t="inlineStr">
        <is>
          <t>低等级信息可查</t>
        </is>
      </c>
      <c r="E207" s="2" t="inlineStr">
        <is>
          <t>P0</t>
        </is>
      </c>
      <c r="F207" s="3" t="inlineStr">
        <is>
          <t>5.4.7.3</t>
        </is>
      </c>
      <c r="G207" s="3" t="inlineStr">
        <is>
          <t>火警显示状态下查询故障/屏蔽</t>
        </is>
      </c>
      <c r="H207" s="3" t="inlineStr">
        <is>
          <t>可手动查询各低等级信息</t>
        </is>
      </c>
      <c r="I207" s="3" t="n"/>
      <c r="J207" s="2" t="inlineStr">
        <is>
          <t>通过</t>
        </is>
      </c>
      <c r="K207" s="2" t="n"/>
      <c r="L207" s="2" t="n"/>
      <c r="M207" s="3" t="n"/>
      <c r="N207" s="2" t="n"/>
    </row>
    <row r="208">
      <c r="A208" s="2" t="n">
        <v>207</v>
      </c>
      <c r="B208" s="2" t="inlineStr">
        <is>
          <t>DP-03</t>
        </is>
      </c>
      <c r="C208" s="3" t="inlineStr">
        <is>
          <t>显示与查询</t>
        </is>
      </c>
      <c r="D208" s="3" t="inlineStr">
        <is>
          <t>分区显示</t>
        </is>
      </c>
      <c r="E208" s="2" t="inlineStr">
        <is>
          <t>P0</t>
        </is>
      </c>
      <c r="F208" s="3" t="inlineStr">
        <is>
          <t>5.4.7.4 ↔ 6.9.2</t>
        </is>
      </c>
      <c r="G208" s="3" t="inlineStr">
        <is>
          <t>同时存在多类信息</t>
        </is>
      </c>
      <c r="H208" s="3" t="inlineStr">
        <is>
          <t>各类信息按类别在单独划分的区域显示</t>
        </is>
      </c>
      <c r="I208" s="3" t="n"/>
      <c r="J208" s="2" t="inlineStr">
        <is>
          <t>通过</t>
        </is>
      </c>
      <c r="K208" s="2" t="n"/>
      <c r="L208" s="2" t="n"/>
      <c r="M208" s="3" t="n"/>
      <c r="N208" s="2" t="n"/>
    </row>
    <row r="209">
      <c r="A209" s="2" t="n">
        <v>208</v>
      </c>
      <c r="B209" s="2" t="inlineStr">
        <is>
          <t>DP-04</t>
        </is>
      </c>
      <c r="C209" s="3" t="inlineStr">
        <is>
          <t>显示与查询</t>
        </is>
      </c>
      <c r="D209" s="3" t="n"/>
      <c r="E209" s="2" t="inlineStr">
        <is>
          <t>P1</t>
        </is>
      </c>
      <c r="F209" s="3" t="inlineStr">
        <is>
          <t>5.3.2.2/5.3.3</t>
        </is>
      </c>
      <c r="G209" s="3" t="inlineStr">
        <is>
          <t>显示器件规格（总案）——光照 100～500 lx、正前方 22.5° 视角检查</t>
        </is>
      </c>
      <c r="H209" s="3" t="inlineStr">
        <is>
          <t>见子项</t>
        </is>
      </c>
      <c r="I209" s="3" t="n"/>
      <c r="J209" s="2" t="inlineStr">
        <is>
          <t>通过</t>
        </is>
      </c>
      <c r="K209" s="2" t="n"/>
      <c r="L209" s="2" t="n"/>
      <c r="M209" s="3" t="n"/>
      <c r="N209" s="2" t="n"/>
    </row>
    <row r="210">
      <c r="A210" s="2" t="n">
        <v>209</v>
      </c>
      <c r="B210" s="2" t="inlineStr">
        <is>
          <t>DP-04.1</t>
        </is>
      </c>
      <c r="C210" s="3" t="inlineStr">
        <is>
          <t>显示与查询</t>
        </is>
      </c>
      <c r="D210" s="3" t="inlineStr">
        <is>
          <t>0.8 m 灯可见</t>
        </is>
      </c>
      <c r="E210" s="2" t="inlineStr">
        <is>
          <t>P1</t>
        </is>
      </c>
      <c r="F210" s="3" t="inlineStr">
        <is>
          <t>5.3.2.2</t>
        </is>
      </c>
      <c r="G210" s="3" t="inlineStr">
        <is>
          <t>（见父案步骤）</t>
        </is>
      </c>
      <c r="H210" s="3" t="inlineStr">
        <is>
          <t>手/自动/检查开启灯 0.8 m 可见</t>
        </is>
      </c>
      <c r="I210" s="3" t="n"/>
      <c r="J210" s="2" t="inlineStr">
        <is>
          <t>通过</t>
        </is>
      </c>
      <c r="K210" s="2" t="n"/>
      <c r="L210" s="2" t="n"/>
      <c r="M210" s="3" t="n"/>
      <c r="N210" s="2" t="n"/>
    </row>
    <row r="211">
      <c r="A211" s="2" t="n">
        <v>210</v>
      </c>
      <c r="B211" s="2" t="inlineStr">
        <is>
          <t>DP-04.2</t>
        </is>
      </c>
      <c r="C211" s="3" t="inlineStr">
        <is>
          <t>显示与查询</t>
        </is>
      </c>
      <c r="D211" s="3" t="inlineStr">
        <is>
          <t>3 m 灯可见</t>
        </is>
      </c>
      <c r="E211" s="2" t="inlineStr">
        <is>
          <t>P1</t>
        </is>
      </c>
      <c r="F211" s="3" t="inlineStr">
        <is>
          <t>5.3.2.2</t>
        </is>
      </c>
      <c r="G211" s="3" t="inlineStr">
        <is>
          <t>（见父案步骤）</t>
        </is>
      </c>
      <c r="H211" s="3" t="inlineStr">
        <is>
          <t>其他指示灯 3 m 可见</t>
        </is>
      </c>
      <c r="I211" s="3" t="n"/>
      <c r="J211" s="2" t="inlineStr">
        <is>
          <t>通过</t>
        </is>
      </c>
      <c r="K211" s="2" t="n"/>
      <c r="L211" s="2" t="n"/>
      <c r="M211" s="3" t="n"/>
      <c r="N211" s="2" t="n"/>
    </row>
    <row r="212">
      <c r="A212" s="2" t="n">
        <v>211</v>
      </c>
      <c r="B212" s="2" t="inlineStr">
        <is>
          <t>DP-04.3</t>
        </is>
      </c>
      <c r="C212" s="3" t="inlineStr">
        <is>
          <t>显示与查询</t>
        </is>
      </c>
      <c r="D212" s="3" t="inlineStr">
        <is>
          <t>显示器可读</t>
        </is>
      </c>
      <c r="E212" s="2" t="inlineStr">
        <is>
          <t>P1</t>
        </is>
      </c>
      <c r="F212" s="3" t="inlineStr">
        <is>
          <t>5.3.3</t>
        </is>
      </c>
      <c r="G212" s="3" t="inlineStr">
        <is>
          <t>（见父案步骤）</t>
        </is>
      </c>
      <c r="H212" s="3" t="inlineStr">
        <is>
          <t>字符显示器 0.8 m 可读</t>
        </is>
      </c>
      <c r="I212" s="3" t="n"/>
      <c r="J212" s="2" t="inlineStr">
        <is>
          <t>通过</t>
        </is>
      </c>
      <c r="K212" s="2" t="n"/>
      <c r="L212" s="2" t="n"/>
      <c r="M212" s="3" t="n"/>
      <c r="N212" s="2" t="n"/>
    </row>
    <row r="213">
      <c r="A213" s="2" t="n">
        <v>212</v>
      </c>
      <c r="B213" s="2" t="inlineStr">
        <is>
          <t>DP-05</t>
        </is>
      </c>
      <c r="C213" s="3" t="inlineStr">
        <is>
          <t>显示与查询</t>
        </is>
      </c>
      <c r="D213" s="3" t="inlineStr">
        <is>
          <t>历史记录·全部查询按钮</t>
        </is>
      </c>
      <c r="E213" s="2" t="inlineStr">
        <is>
          <t>P0</t>
        </is>
      </c>
      <c r="F213" s="3" t="inlineStr">
        <is>
          <t>现场补充</t>
        </is>
      </c>
      <c r="G213" s="3" t="inlineStr">
        <is>
          <t>历史记录页面</t>
        </is>
      </c>
      <c r="H213" s="3" t="inlineStr">
        <is>
          <t>全部查询按钮应该起作用</t>
        </is>
      </c>
      <c r="I213" s="3" t="inlineStr">
        <is>
          <t>全部查询按钮点击无响应</t>
        </is>
      </c>
      <c r="J213" s="7" t="inlineStr">
        <is>
          <t>不通过</t>
        </is>
      </c>
      <c r="K213" s="2" t="n"/>
      <c r="L213" s="2" t="inlineStr">
        <is>
          <t>2026-08-18</t>
        </is>
      </c>
      <c r="M213" s="3" t="inlineStr">
        <is>
          <t>现场实测补充用例</t>
        </is>
      </c>
      <c r="N213" s="2" t="inlineStr">
        <is>
          <t>查询 / 历史记录</t>
        </is>
      </c>
    </row>
    <row r="214">
      <c r="A214" s="2" t="n">
        <v>213</v>
      </c>
      <c r="B214" s="2" t="inlineStr">
        <is>
          <t>CK-01</t>
        </is>
      </c>
      <c r="C214" s="3" t="inlineStr">
        <is>
          <t>检查功能</t>
        </is>
      </c>
      <c r="D214" s="3" t="n"/>
      <c r="E214" s="2" t="inlineStr">
        <is>
          <t>P1</t>
        </is>
      </c>
      <c r="F214" s="3" t="inlineStr">
        <is>
          <t>5.4.9.1 ↔ 6.11.1～6.11.6</t>
        </is>
      </c>
      <c r="G214" s="3" t="inlineStr">
        <is>
          <t>四类总数显示（总案）——接 ≥10 只探测器 + ≥2 只手报；操作检查按钮</t>
        </is>
      </c>
      <c r="H214" s="3" t="inlineStr">
        <is>
          <t>见子项</t>
        </is>
      </c>
      <c r="I214" s="4" t="inlineStr">
        <is>
          <t>（未填写原因，需补）</t>
        </is>
      </c>
      <c r="J214" s="6" t="inlineStr">
        <is>
          <t>通过</t>
        </is>
      </c>
      <c r="K214" s="2" t="n"/>
      <c r="L214" s="2" t="inlineStr">
        <is>
          <t>2026-08-18</t>
        </is>
      </c>
      <c r="M214" s="3" t="n"/>
      <c r="N214" s="2" t="inlineStr">
        <is>
          <t>查询 / 检查信息</t>
        </is>
      </c>
    </row>
    <row r="215">
      <c r="A215" s="2" t="n">
        <v>214</v>
      </c>
      <c r="B215" s="2" t="inlineStr">
        <is>
          <t>CK-01.1</t>
        </is>
      </c>
      <c r="C215" s="3" t="inlineStr">
        <is>
          <t>检查功能</t>
        </is>
      </c>
      <c r="D215" s="3" t="inlineStr">
        <is>
          <t>四类总数</t>
        </is>
      </c>
      <c r="E215" s="2" t="inlineStr">
        <is>
          <t>P1</t>
        </is>
      </c>
      <c r="F215" s="3" t="inlineStr">
        <is>
          <t>5.4.9.1</t>
        </is>
      </c>
      <c r="G215" s="3" t="inlineStr">
        <is>
          <t>（见父案步骤）</t>
        </is>
      </c>
      <c r="H215" s="3" t="inlineStr">
        <is>
          <t>显示：工程设计设备类别与地址总数 / 正常工作总数 / 故障总数 / 已屏蔽总数</t>
        </is>
      </c>
      <c r="I215" s="4" t="inlineStr">
        <is>
          <t>（未填写原因，需补）</t>
        </is>
      </c>
      <c r="J215" s="6" t="inlineStr">
        <is>
          <t>通过</t>
        </is>
      </c>
      <c r="K215" s="2" t="n"/>
      <c r="L215" s="2" t="inlineStr">
        <is>
          <t>2026-08-18</t>
        </is>
      </c>
      <c r="M215" s="3" t="n"/>
      <c r="N215" s="2" t="inlineStr">
        <is>
          <t>查询 / 检查信息</t>
        </is>
      </c>
    </row>
    <row r="216">
      <c r="A216" s="2" t="n">
        <v>215</v>
      </c>
      <c r="B216" s="2" t="inlineStr">
        <is>
          <t>CK-01.2</t>
        </is>
      </c>
      <c r="C216" s="3" t="inlineStr">
        <is>
          <t>检查功能</t>
        </is>
      </c>
      <c r="D216" s="3" t="inlineStr">
        <is>
          <t>检查按钮形态</t>
        </is>
      </c>
      <c r="E216" s="2" t="inlineStr">
        <is>
          <t>P1</t>
        </is>
      </c>
      <c r="F216" s="3" t="inlineStr">
        <is>
          <t>5.4.9.1</t>
        </is>
      </c>
      <c r="G216" s="3" t="inlineStr">
        <is>
          <t>（见父案步骤）</t>
        </is>
      </c>
      <c r="H216" s="3" t="inlineStr">
        <is>
          <t>检查按钮方形红色 ≥12 mm×12 mm</t>
        </is>
      </c>
      <c r="I216" s="4" t="inlineStr">
        <is>
          <t>（未填写原因，需补）</t>
        </is>
      </c>
      <c r="J216" s="6" t="inlineStr">
        <is>
          <t>通过</t>
        </is>
      </c>
      <c r="K216" s="2" t="n"/>
      <c r="L216" s="2" t="inlineStr">
        <is>
          <t>2026-08-18</t>
        </is>
      </c>
      <c r="M216" s="3" t="n"/>
      <c r="N216" s="2" t="inlineStr">
        <is>
          <t>查询 / 检查信息</t>
        </is>
      </c>
    </row>
    <row r="217">
      <c r="A217" s="2" t="n">
        <v>216</v>
      </c>
      <c r="B217" s="2" t="inlineStr">
        <is>
          <t>CK-01.3</t>
        </is>
      </c>
      <c r="C217" s="3" t="inlineStr">
        <is>
          <t>检查功能</t>
        </is>
      </c>
      <c r="D217" s="3" t="inlineStr">
        <is>
          <t>权限豁免</t>
        </is>
      </c>
      <c r="E217" s="2" t="inlineStr">
        <is>
          <t>P1</t>
        </is>
      </c>
      <c r="F217" s="3" t="inlineStr">
        <is>
          <t>5.4.9.1</t>
        </is>
      </c>
      <c r="G217" s="3" t="inlineStr">
        <is>
          <t>（见父案步骤）</t>
        </is>
      </c>
      <c r="H217" s="3" t="inlineStr">
        <is>
          <t>操作不受操作级别限制</t>
        </is>
      </c>
      <c r="I217" s="4" t="inlineStr">
        <is>
          <t>（未填写原因，需补）</t>
        </is>
      </c>
      <c r="J217" s="6" t="inlineStr">
        <is>
          <t>通过</t>
        </is>
      </c>
      <c r="K217" s="2" t="n"/>
      <c r="L217" s="2" t="inlineStr">
        <is>
          <t>2026-08-18</t>
        </is>
      </c>
      <c r="M217" s="3" t="n"/>
      <c r="N217" s="2" t="inlineStr">
        <is>
          <t>查询 / 检查信息</t>
        </is>
      </c>
    </row>
    <row r="218">
      <c r="A218" s="2" t="n">
        <v>217</v>
      </c>
      <c r="B218" s="2" t="inlineStr">
        <is>
          <t>CK-01.4</t>
        </is>
      </c>
      <c r="C218" s="3" t="inlineStr">
        <is>
          <t>检查功能</t>
        </is>
      </c>
      <c r="D218" s="3" t="inlineStr">
        <is>
          <t>检查状态灯</t>
        </is>
      </c>
      <c r="E218" s="2" t="inlineStr">
        <is>
          <t>P1</t>
        </is>
      </c>
      <c r="F218" s="3" t="inlineStr">
        <is>
          <t>5.4.9.1</t>
        </is>
      </c>
      <c r="G218" s="3" t="inlineStr">
        <is>
          <t>（见父案步骤）</t>
        </is>
      </c>
      <c r="H218" s="3" t="inlineStr">
        <is>
          <t>检查状态指示灯随进出点亮/熄灭</t>
        </is>
      </c>
      <c r="I218" s="4" t="inlineStr">
        <is>
          <t>（未填写原因，需补）</t>
        </is>
      </c>
      <c r="J218" s="6" t="inlineStr">
        <is>
          <t>通过</t>
        </is>
      </c>
      <c r="K218" s="2" t="n"/>
      <c r="L218" s="2" t="inlineStr">
        <is>
          <t>2026-08-18</t>
        </is>
      </c>
      <c r="M218" s="3" t="n"/>
      <c r="N218" s="2" t="inlineStr">
        <is>
          <t>查询 / 检查信息</t>
        </is>
      </c>
    </row>
    <row r="219">
      <c r="A219" s="2" t="n">
        <v>218</v>
      </c>
      <c r="B219" s="2" t="inlineStr">
        <is>
          <t>CK-02</t>
        </is>
      </c>
      <c r="C219" s="3" t="inlineStr">
        <is>
          <t>检查功能</t>
        </is>
      </c>
      <c r="D219" s="3" t="inlineStr">
        <is>
          <t>设计总数不受动态影响</t>
        </is>
      </c>
      <c r="E219" s="2" t="inlineStr">
        <is>
          <t>P1</t>
        </is>
      </c>
      <c r="F219" s="3" t="inlineStr">
        <is>
          <t>5.4.9.2 ↔ 6.11.7</t>
        </is>
      </c>
      <c r="G219" s="3" t="inlineStr">
        <is>
          <t>制造 ≥3 种故障、增加屏蔽数后复查</t>
        </is>
      </c>
      <c r="H219" s="3" t="inlineStr">
        <is>
          <t>工程设计总数不随故障/屏蔽总数调整而变</t>
        </is>
      </c>
      <c r="I219" s="3" t="n"/>
      <c r="J219" s="2" t="inlineStr">
        <is>
          <t>通过</t>
        </is>
      </c>
      <c r="K219" s="2" t="n"/>
      <c r="L219" s="2" t="n"/>
      <c r="M219" s="3" t="n"/>
      <c r="N219" s="2" t="inlineStr">
        <is>
          <t>查询 / 检查信息</t>
        </is>
      </c>
    </row>
    <row r="220">
      <c r="A220" s="2" t="n">
        <v>219</v>
      </c>
      <c r="B220" s="2" t="inlineStr">
        <is>
          <t>CK-03</t>
        </is>
      </c>
      <c r="C220" s="3" t="inlineStr">
        <is>
          <t>检查功能</t>
        </is>
      </c>
      <c r="D220" s="3" t="n"/>
      <c r="E220" s="2" t="inlineStr">
        <is>
          <t>P1</t>
        </is>
      </c>
      <c r="F220" s="3" t="inlineStr">
        <is>
          <t>5.4.9.3 ↔ 6.11.8/6.11.9</t>
        </is>
      </c>
      <c r="G220" s="3" t="inlineStr">
        <is>
          <t>检查状态自动退出（总案）——① 检查状态下报火警；② 1 min 不操作</t>
        </is>
      </c>
      <c r="H220" s="3" t="inlineStr">
        <is>
          <t>见子项</t>
        </is>
      </c>
      <c r="I220" s="3" t="n"/>
      <c r="J220" s="2" t="inlineStr">
        <is>
          <t>通过</t>
        </is>
      </c>
      <c r="K220" s="2" t="n"/>
      <c r="L220" s="2" t="n"/>
      <c r="M220" s="3" t="n"/>
      <c r="N220" s="2" t="inlineStr">
        <is>
          <t>查询 / 检查信息</t>
        </is>
      </c>
    </row>
    <row r="221">
      <c r="A221" s="2" t="n">
        <v>220</v>
      </c>
      <c r="B221" s="2" t="inlineStr">
        <is>
          <t>CK-03.1</t>
        </is>
      </c>
      <c r="C221" s="3" t="inlineStr">
        <is>
          <t>检查功能</t>
        </is>
      </c>
      <c r="D221" s="3" t="inlineStr">
        <is>
          <t>火警退出</t>
        </is>
      </c>
      <c r="E221" s="2" t="inlineStr">
        <is>
          <t>P1</t>
        </is>
      </c>
      <c r="F221" s="3" t="inlineStr">
        <is>
          <t>5.4.9.3</t>
        </is>
      </c>
      <c r="G221" s="3" t="inlineStr">
        <is>
          <t>（见父案步骤）</t>
        </is>
      </c>
      <c r="H221" s="3" t="inlineStr">
        <is>
          <t>① 检查状态下报火警→退出检查状态并熄灭指示灯</t>
        </is>
      </c>
      <c r="I221" s="3" t="n"/>
      <c r="J221" s="2" t="inlineStr">
        <is>
          <t>通过</t>
        </is>
      </c>
      <c r="K221" s="2" t="n"/>
      <c r="L221" s="2" t="n"/>
      <c r="M221" s="3" t="n"/>
      <c r="N221" s="2" t="inlineStr">
        <is>
          <t>查询 / 检查信息</t>
        </is>
      </c>
    </row>
    <row r="222">
      <c r="A222" s="2" t="n">
        <v>221</v>
      </c>
      <c r="B222" s="2" t="inlineStr">
        <is>
          <t>CK-03.2</t>
        </is>
      </c>
      <c r="C222" s="3" t="inlineStr">
        <is>
          <t>检查功能</t>
        </is>
      </c>
      <c r="D222" s="3" t="inlineStr">
        <is>
          <t>超时退出</t>
        </is>
      </c>
      <c r="E222" s="2" t="inlineStr">
        <is>
          <t>P0</t>
        </is>
      </c>
      <c r="F222" s="3" t="inlineStr">
        <is>
          <t>5.4.9.3</t>
        </is>
      </c>
      <c r="G222" s="3" t="inlineStr">
        <is>
          <t>（见父案步骤）</t>
        </is>
      </c>
      <c r="H222" s="3" t="inlineStr">
        <is>
          <t>② 1 min 不操作→退出检查状态并熄灭指示灯</t>
        </is>
      </c>
      <c r="I222" s="3" t="n"/>
      <c r="J222" s="2" t="inlineStr">
        <is>
          <t>通过</t>
        </is>
      </c>
      <c r="K222" s="2" t="n"/>
      <c r="L222" s="2" t="inlineStr">
        <is>
          <t>2026-09-03</t>
        </is>
      </c>
      <c r="M222" s="3" t="n"/>
      <c r="N222" s="2" t="inlineStr">
        <is>
          <t>查询 / 检查信息</t>
        </is>
      </c>
    </row>
    <row r="223">
      <c r="A223" s="2" t="n">
        <v>222</v>
      </c>
      <c r="B223" s="2" t="inlineStr">
        <is>
          <t>CK-03.3</t>
        </is>
      </c>
      <c r="C223" s="3" t="inlineStr">
        <is>
          <t>检查功能</t>
        </is>
      </c>
      <c r="D223" s="3" t="inlineStr">
        <is>
          <t>不影响火警</t>
        </is>
      </c>
      <c r="E223" s="2" t="inlineStr">
        <is>
          <t>P1</t>
        </is>
      </c>
      <c r="F223" s="3" t="inlineStr">
        <is>
          <t>5.4.9.3</t>
        </is>
      </c>
      <c r="G223" s="3" t="inlineStr">
        <is>
          <t>（见父案步骤）</t>
        </is>
      </c>
      <c r="H223" s="3" t="inlineStr">
        <is>
          <t>检查功能不影响火警</t>
        </is>
      </c>
      <c r="I223" s="3" t="n"/>
      <c r="J223" s="2" t="inlineStr">
        <is>
          <t>通过</t>
        </is>
      </c>
      <c r="K223" s="2" t="n"/>
      <c r="L223" s="2" t="n"/>
      <c r="M223" s="3" t="n"/>
      <c r="N223" s="2" t="inlineStr">
        <is>
          <t>查询 / 检查信息</t>
        </is>
      </c>
    </row>
    <row r="224">
      <c r="A224" s="2" t="n">
        <v>223</v>
      </c>
      <c r="B224" s="2" t="inlineStr">
        <is>
          <t>CK-04</t>
        </is>
      </c>
      <c r="C224" s="3" t="inlineStr">
        <is>
          <t>检查功能</t>
        </is>
      </c>
      <c r="D224" s="3" t="inlineStr">
        <is>
          <t>检查页·设备类型分行</t>
        </is>
      </c>
      <c r="E224" s="2" t="inlineStr">
        <is>
          <t>P1</t>
        </is>
      </c>
      <c r="F224" s="3" t="inlineStr">
        <is>
          <t>5.4.9.1</t>
        </is>
      </c>
      <c r="G224" s="3" t="inlineStr">
        <is>
          <t>进入检查页查看行结构</t>
        </is>
      </c>
      <c r="H224" s="3" t="inlineStr">
        <is>
          <t>按类型分行：烟感/温感/手报/消火栓/声光/显示盘/模块/其他 + 总计行；总计＝各行之和</t>
        </is>
      </c>
      <c r="I224" s="3" t="inlineStr">
        <is>
          <t>当有屏蔽设备时，其他类型显示了一个超级大的数字</t>
        </is>
      </c>
      <c r="J224" s="5" t="inlineStr">
        <is>
          <t>不通过</t>
        </is>
      </c>
      <c r="K224" s="2" t="n"/>
      <c r="L224" s="2" t="inlineStr">
        <is>
          <t>2026-09-03</t>
        </is>
      </c>
      <c r="M224" s="3" t="n"/>
      <c r="N224" s="2" t="inlineStr">
        <is>
          <t>查询 / 检查信息</t>
        </is>
      </c>
    </row>
    <row r="225">
      <c r="A225" s="2" t="n">
        <v>224</v>
      </c>
      <c r="B225" s="2" t="inlineStr">
        <is>
          <t>CK-05</t>
        </is>
      </c>
      <c r="C225" s="3" t="inlineStr">
        <is>
          <t>检查功能</t>
        </is>
      </c>
      <c r="D225" s="3" t="inlineStr">
        <is>
          <t>检查页·设计数量列</t>
        </is>
      </c>
      <c r="E225" s="2" t="inlineStr">
        <is>
          <t>P1</t>
        </is>
      </c>
      <c r="F225" s="3" t="inlineStr">
        <is>
          <t>5.4.9.1 a)</t>
        </is>
      </c>
      <c r="G225" s="3" t="inlineStr">
        <is>
          <t>与点表工程配置比对</t>
        </is>
      </c>
      <c r="H225" s="3" t="inlineStr">
        <is>
          <t>各行设计数量与点表一致（实机：总计 4＝烟感1+声光1+模块1+其他1）</t>
        </is>
      </c>
      <c r="I225" s="3" t="inlineStr">
        <is>
          <t>设计4=烟感1+声光1+模块1+其他1,与点表一致</t>
        </is>
      </c>
      <c r="J225" s="5" t="inlineStr">
        <is>
          <t>通过</t>
        </is>
      </c>
      <c r="K225" s="2" t="n"/>
      <c r="L225" s="2" t="inlineStr">
        <is>
          <t>2026-08-18</t>
        </is>
      </c>
      <c r="M225" s="3" t="n"/>
      <c r="N225" s="2" t="inlineStr">
        <is>
          <t>查询 / 检查信息</t>
        </is>
      </c>
    </row>
    <row r="226">
      <c r="A226" s="2" t="n">
        <v>225</v>
      </c>
      <c r="B226" s="2" t="inlineStr">
        <is>
          <t>CK-06</t>
        </is>
      </c>
      <c r="C226" s="3" t="inlineStr">
        <is>
          <t>检查功能</t>
        </is>
      </c>
      <c r="D226" s="3" t="inlineStr">
        <is>
          <t>检查页·正常数量列</t>
        </is>
      </c>
      <c r="E226" s="2" t="inlineStr">
        <is>
          <t>P1</t>
        </is>
      </c>
      <c r="F226" s="3" t="inlineStr">
        <is>
          <t>5.4.9.1 b)</t>
        </is>
      </c>
      <c r="G226" s="3" t="inlineStr">
        <is>
          <t>与实际在线设备比对</t>
        </is>
      </c>
      <c r="H226" s="3" t="inlineStr">
        <is>
          <t>正常数量＝当前实际在线数（实机：3）</t>
        </is>
      </c>
      <c r="I226" s="3" t="inlineStr">
        <is>
          <t>正常数量3,与在线设备一致</t>
        </is>
      </c>
      <c r="J226" s="5" t="inlineStr">
        <is>
          <t>通过</t>
        </is>
      </c>
      <c r="K226" s="2" t="n"/>
      <c r="L226" s="2" t="inlineStr">
        <is>
          <t>2026-08-18</t>
        </is>
      </c>
      <c r="M226" s="3" t="n"/>
      <c r="N226" s="2" t="inlineStr">
        <is>
          <t>查询 / 检查信息</t>
        </is>
      </c>
    </row>
    <row r="227">
      <c r="A227" s="2" t="n">
        <v>226</v>
      </c>
      <c r="B227" s="2" t="inlineStr">
        <is>
          <t>CK-07</t>
        </is>
      </c>
      <c r="C227" s="3" t="inlineStr">
        <is>
          <t>检查功能</t>
        </is>
      </c>
      <c r="D227" s="3" t="inlineStr">
        <is>
          <t>检查页·故障数量列</t>
        </is>
      </c>
      <c r="E227" s="2" t="inlineStr">
        <is>
          <t>P1</t>
        </is>
      </c>
      <c r="F227" s="3" t="inlineStr">
        <is>
          <t>5.4.9.1 c)</t>
        </is>
      </c>
      <c r="G227" s="3" t="inlineStr">
        <is>
          <t>与故障表交叉比对</t>
        </is>
      </c>
      <c r="H227" s="3" t="inlineStr">
        <is>
          <t>故障数量与故障信息页一致（实机：1＝输入模块断路；存储单元/打印机属机内设备不计入点表口径，正确）</t>
        </is>
      </c>
      <c r="I227" s="3" t="inlineStr">
        <is>
          <t>故障1=输入模块断路,与信息显示页互证;机内设备不计入口径正确</t>
        </is>
      </c>
      <c r="J227" s="5" t="inlineStr">
        <is>
          <t>通过</t>
        </is>
      </c>
      <c r="K227" s="2" t="n"/>
      <c r="L227" s="2" t="inlineStr">
        <is>
          <t>2026-08-18</t>
        </is>
      </c>
      <c r="M227" s="3" t="n"/>
      <c r="N227" s="2" t="inlineStr">
        <is>
          <t>查询 / 检查信息</t>
        </is>
      </c>
    </row>
    <row r="228">
      <c r="A228" s="2" t="n">
        <v>227</v>
      </c>
      <c r="B228" s="2" t="inlineStr">
        <is>
          <t>CK-08</t>
        </is>
      </c>
      <c r="C228" s="3" t="inlineStr">
        <is>
          <t>检查功能</t>
        </is>
      </c>
      <c r="D228" s="3" t="inlineStr">
        <is>
          <t>检查页·屏蔽数量列</t>
        </is>
      </c>
      <c r="E228" s="2" t="inlineStr">
        <is>
          <t>P1</t>
        </is>
      </c>
      <c r="F228" s="3" t="inlineStr">
        <is>
          <t>5.4.9.1 d)</t>
        </is>
      </c>
      <c r="G228" s="3" t="inlineStr">
        <is>
          <t>无屏蔽时查看该列</t>
        </is>
      </c>
      <c r="H228" s="3" t="inlineStr">
        <is>
          <t>无屏蔽时应显式显示 0（不许留空白——空白无法区分"0"与"没读到数据"）</t>
        </is>
      </c>
      <c r="I228" s="3" t="inlineStr">
        <is>
          <t>照片中屏蔽列空白,未见数值。
当有屏蔽时，每一行的屏蔽数据不能全部是 0</t>
        </is>
      </c>
      <c r="J228" s="8" t="inlineStr">
        <is>
          <t>不通过</t>
        </is>
      </c>
      <c r="K228" s="2" t="n"/>
      <c r="L228" s="2" t="inlineStr">
        <is>
          <t>2026-09-03</t>
        </is>
      </c>
      <c r="M228" s="3" t="n"/>
      <c r="N228" s="2" t="inlineStr">
        <is>
          <t>查询 / 检查信息</t>
        </is>
      </c>
    </row>
    <row r="229">
      <c r="A229" s="2" t="n">
        <v>228</v>
      </c>
      <c r="B229" s="2" t="inlineStr">
        <is>
          <t>CK-09</t>
        </is>
      </c>
      <c r="C229" s="3" t="inlineStr">
        <is>
          <t>检查功能</t>
        </is>
      </c>
      <c r="D229" s="3" t="inlineStr">
        <is>
          <t>检查键联动进入检查页</t>
        </is>
      </c>
      <c r="E229" s="2" t="inlineStr">
        <is>
          <t>P1</t>
        </is>
      </c>
      <c r="F229" s="3" t="inlineStr">
        <is>
          <t>5.4.9.1</t>
        </is>
      </c>
      <c r="G229" s="3" t="inlineStr">
        <is>
          <t>按面板检查键</t>
        </is>
      </c>
      <c r="H229" s="3" t="inlineStr">
        <is>
          <t>直接进入本页（菜单"检查信息"入口与物理键到达同一页面）</t>
        </is>
      </c>
      <c r="I229" s="3" t="inlineStr">
        <is>
          <t>检查键联动进入检查页,已确认</t>
        </is>
      </c>
      <c r="J229" s="5" t="inlineStr">
        <is>
          <t>通过</t>
        </is>
      </c>
      <c r="K229" s="2" t="n"/>
      <c r="L229" s="2" t="inlineStr">
        <is>
          <t>2026-08-18</t>
        </is>
      </c>
      <c r="M229" s="3" t="n"/>
      <c r="N229" s="2" t="inlineStr">
        <is>
          <t>查询 / 检查信息</t>
        </is>
      </c>
    </row>
    <row r="230">
      <c r="A230" s="2" t="n">
        <v>229</v>
      </c>
      <c r="B230" s="2" t="inlineStr">
        <is>
          <t>CK-10</t>
        </is>
      </c>
      <c r="C230" s="3" t="inlineStr">
        <is>
          <t>检查功能</t>
        </is>
      </c>
      <c r="D230" s="3" t="inlineStr">
        <is>
          <t>检查开启灯</t>
        </is>
      </c>
      <c r="E230" s="2" t="inlineStr">
        <is>
          <t>P1</t>
        </is>
      </c>
      <c r="F230" s="3" t="inlineStr">
        <is>
          <t>5.4.9.1</t>
        </is>
      </c>
      <c r="G230" s="3" t="inlineStr">
        <is>
          <t>进入/退出检查状态各一次</t>
        </is>
      </c>
      <c r="H230" s="3" t="inlineStr">
        <is>
          <t>进入点亮"开启"灯，退出熄灭</t>
        </is>
      </c>
      <c r="I230" s="4" t="inlineStr">
        <is>
          <t>（未填写原因，需补）</t>
        </is>
      </c>
      <c r="J230" s="8" t="inlineStr">
        <is>
          <t>通过</t>
        </is>
      </c>
      <c r="K230" s="2" t="n"/>
      <c r="L230" s="2" t="inlineStr">
        <is>
          <t>2026-08-18</t>
        </is>
      </c>
      <c r="M230" s="3" t="n"/>
      <c r="N230" s="2" t="inlineStr">
        <is>
          <t>查询 / 检查信息</t>
        </is>
      </c>
    </row>
    <row r="231">
      <c r="A231" s="2" t="n">
        <v>230</v>
      </c>
      <c r="B231" s="2" t="inlineStr">
        <is>
          <t>CK-11</t>
        </is>
      </c>
      <c r="C231" s="3" t="inlineStr">
        <is>
          <t>检查功能</t>
        </is>
      </c>
      <c r="D231" s="3" t="inlineStr">
        <is>
          <t>检查权限豁免</t>
        </is>
      </c>
      <c r="E231" s="2" t="inlineStr">
        <is>
          <t>P1</t>
        </is>
      </c>
      <c r="F231" s="3" t="inlineStr">
        <is>
          <t>5.4.9.1</t>
        </is>
      </c>
      <c r="G231" s="3" t="inlineStr">
        <is>
          <t>Ⅰ 级（未登录）状态按检查键</t>
        </is>
      </c>
      <c r="H231" s="3" t="inlineStr">
        <is>
          <t>不受操作级别限制，Ⅰ 级即可进入</t>
        </is>
      </c>
      <c r="I231" s="4" t="inlineStr">
        <is>
          <t>（未填写原因，需补）</t>
        </is>
      </c>
      <c r="J231" s="8" t="inlineStr">
        <is>
          <t>通过</t>
        </is>
      </c>
      <c r="K231" s="2" t="n"/>
      <c r="L231" s="2" t="inlineStr">
        <is>
          <t>2026-08-18</t>
        </is>
      </c>
      <c r="M231" s="3" t="n"/>
      <c r="N231" s="2" t="inlineStr">
        <is>
          <t>查询 / 检查信息</t>
        </is>
      </c>
    </row>
    <row r="232">
      <c r="A232" s="2" t="n">
        <v>231</v>
      </c>
      <c r="B232" s="2" t="inlineStr">
        <is>
          <t>PW-01</t>
        </is>
      </c>
      <c r="C232" s="3" t="inlineStr">
        <is>
          <t>电源</t>
        </is>
      </c>
      <c r="D232" s="3" t="n"/>
      <c r="E232" s="2" t="inlineStr">
        <is>
          <t>P0</t>
        </is>
      </c>
      <c r="F232" s="3" t="inlineStr">
        <is>
          <t>5.4.11.1 ↔ 6.13.1</t>
        </is>
      </c>
      <c r="G232" s="3" t="inlineStr">
        <is>
          <t>主备电自动转换（总案）——切断主电→观察；恢复主电→观察</t>
        </is>
      </c>
      <c r="H232" s="3" t="inlineStr">
        <is>
          <t>见子项</t>
        </is>
      </c>
      <c r="I232" s="3" t="n"/>
      <c r="J232" s="2" t="inlineStr">
        <is>
          <t>通过</t>
        </is>
      </c>
      <c r="K232" s="2" t="n"/>
      <c r="L232" s="2" t="inlineStr">
        <is>
          <t>2026-09-03</t>
        </is>
      </c>
      <c r="M232" s="3" t="n"/>
      <c r="N232" s="2" t="n"/>
    </row>
    <row r="233">
      <c r="A233" s="2" t="n">
        <v>232</v>
      </c>
      <c r="B233" s="2" t="inlineStr">
        <is>
          <t>PW-01.1</t>
        </is>
      </c>
      <c r="C233" s="3" t="inlineStr">
        <is>
          <t>电源</t>
        </is>
      </c>
      <c r="D233" s="3" t="inlineStr">
        <is>
          <t>自动转备电</t>
        </is>
      </c>
      <c r="E233" s="2" t="inlineStr">
        <is>
          <t>P0</t>
        </is>
      </c>
      <c r="F233" s="3" t="inlineStr">
        <is>
          <t>5.4.11.1</t>
        </is>
      </c>
      <c r="G233" s="3" t="inlineStr">
        <is>
          <t>（见父案步骤）</t>
        </is>
      </c>
      <c r="H233" s="3" t="inlineStr">
        <is>
          <t>切断主电→自动转备电</t>
        </is>
      </c>
      <c r="I233" s="3" t="n"/>
      <c r="J233" s="2" t="inlineStr">
        <is>
          <t>通过</t>
        </is>
      </c>
      <c r="K233" s="2" t="n"/>
      <c r="L233" s="2" t="n"/>
      <c r="M233" s="3" t="n"/>
      <c r="N233" s="2" t="n"/>
    </row>
    <row r="234">
      <c r="A234" s="2" t="n">
        <v>233</v>
      </c>
      <c r="B234" s="2" t="inlineStr">
        <is>
          <t>PW-01.2</t>
        </is>
      </c>
      <c r="C234" s="3" t="inlineStr">
        <is>
          <t>电源</t>
        </is>
      </c>
      <c r="D234" s="3" t="inlineStr">
        <is>
          <t>自动转回主电</t>
        </is>
      </c>
      <c r="E234" s="2" t="inlineStr">
        <is>
          <t>P0</t>
        </is>
      </c>
      <c r="F234" s="3" t="inlineStr">
        <is>
          <t>5.4.11.1</t>
        </is>
      </c>
      <c r="G234" s="3" t="inlineStr">
        <is>
          <t>（见父案步骤）</t>
        </is>
      </c>
      <c r="H234" s="3" t="inlineStr">
        <is>
          <t>恢复主电→自动转回主电</t>
        </is>
      </c>
      <c r="I234" s="3" t="n"/>
      <c r="J234" s="2" t="inlineStr">
        <is>
          <t>通过</t>
        </is>
      </c>
      <c r="K234" s="2" t="n"/>
      <c r="L234" s="2" t="inlineStr">
        <is>
          <t>2026-09-03</t>
        </is>
      </c>
      <c r="M234" s="3" t="n"/>
      <c r="N234" s="2" t="n"/>
    </row>
    <row r="235">
      <c r="A235" s="2" t="n">
        <v>234</v>
      </c>
      <c r="B235" s="2" t="inlineStr">
        <is>
          <t>PW-01.3</t>
        </is>
      </c>
      <c r="C235" s="3" t="inlineStr">
        <is>
          <t>电源</t>
        </is>
      </c>
      <c r="D235" s="3" t="inlineStr">
        <is>
          <t>转换不误报</t>
        </is>
      </c>
      <c r="E235" s="2" t="inlineStr">
        <is>
          <t>P0</t>
        </is>
      </c>
      <c r="F235" s="3" t="inlineStr">
        <is>
          <t>5.4.11.1</t>
        </is>
      </c>
      <c r="G235" s="3" t="inlineStr">
        <is>
          <t>（见父案步骤）</t>
        </is>
      </c>
      <c r="H235" s="3" t="inlineStr">
        <is>
          <t>转换不发火警</t>
        </is>
      </c>
      <c r="I235" s="3" t="n"/>
      <c r="J235" s="2" t="inlineStr">
        <is>
          <t>通过</t>
        </is>
      </c>
      <c r="K235" s="2" t="n"/>
      <c r="L235" s="2" t="inlineStr">
        <is>
          <t>2026-09-03</t>
        </is>
      </c>
      <c r="M235" s="3" t="n"/>
      <c r="N235" s="2" t="n"/>
    </row>
    <row r="236">
      <c r="A236" s="2" t="n">
        <v>235</v>
      </c>
      <c r="B236" s="2" t="inlineStr">
        <is>
          <t>PW-01.4</t>
        </is>
      </c>
      <c r="C236" s="3" t="inlineStr">
        <is>
          <t>电源</t>
        </is>
      </c>
      <c r="D236" s="3" t="inlineStr">
        <is>
          <t>状态指示</t>
        </is>
      </c>
      <c r="E236" s="2" t="inlineStr">
        <is>
          <t>P0</t>
        </is>
      </c>
      <c r="F236" s="3" t="inlineStr">
        <is>
          <t>5.4.11.1</t>
        </is>
      </c>
      <c r="G236" s="3" t="inlineStr">
        <is>
          <t>（见父案步骤）</t>
        </is>
      </c>
      <c r="H236" s="3" t="inlineStr">
        <is>
          <t>主备电状态指示正确</t>
        </is>
      </c>
      <c r="I236" s="3" t="n"/>
      <c r="J236" s="2" t="inlineStr">
        <is>
          <t>通过</t>
        </is>
      </c>
      <c r="K236" s="2" t="n"/>
      <c r="L236" s="2" t="inlineStr">
        <is>
          <t>2026-09-03</t>
        </is>
      </c>
      <c r="M236" s="3" t="n"/>
      <c r="N236" s="2" t="n"/>
    </row>
    <row r="237">
      <c r="A237" s="2" t="n">
        <v>236</v>
      </c>
      <c r="B237" s="2" t="inlineStr">
        <is>
          <t>PW-01.5</t>
        </is>
      </c>
      <c r="C237" s="3" t="inlineStr">
        <is>
          <t>电源</t>
        </is>
      </c>
      <c r="D237" s="3" t="inlineStr">
        <is>
          <t>过流保护</t>
        </is>
      </c>
      <c r="E237" s="2" t="inlineStr">
        <is>
          <t>P0</t>
        </is>
      </c>
      <c r="F237" s="3" t="inlineStr">
        <is>
          <t>5.4.11.1</t>
        </is>
      </c>
      <c r="G237" s="3" t="inlineStr">
        <is>
          <t>（见父案步骤）</t>
        </is>
      </c>
      <c r="H237" s="3" t="inlineStr">
        <is>
          <t>主备电均有过流保护</t>
        </is>
      </c>
      <c r="I237" s="3" t="n"/>
      <c r="J237" s="2" t="inlineStr">
        <is>
          <t>通过</t>
        </is>
      </c>
      <c r="K237" s="2" t="n"/>
      <c r="L237" s="2" t="inlineStr">
        <is>
          <t>2026-09-03</t>
        </is>
      </c>
      <c r="M237" s="3" t="n"/>
      <c r="N237" s="2" t="n"/>
    </row>
    <row r="238">
      <c r="A238" s="2" t="n">
        <v>237</v>
      </c>
      <c r="B238" s="2" t="inlineStr">
        <is>
          <t>PW-02</t>
        </is>
      </c>
      <c r="C238" s="3" t="inlineStr">
        <is>
          <t>电源</t>
        </is>
      </c>
      <c r="D238" s="3" t="inlineStr">
        <is>
          <t>电压容限</t>
        </is>
      </c>
      <c r="E238" s="2" t="inlineStr">
        <is>
          <t>P0</t>
        </is>
      </c>
      <c r="F238" s="3" t="inlineStr">
        <is>
          <t>5.4.11.4</t>
        </is>
      </c>
      <c r="G238" s="3" t="inlineStr">
        <is>
          <t>输入 187 V / 220 V / 242 V（(50±1) Hz）分别做基本功能试验</t>
        </is>
      </c>
      <c r="H238" s="3" t="inlineStr">
        <is>
          <t>全范围正常工作</t>
        </is>
      </c>
      <c r="I238" s="4" t="inlineStr">
        <is>
          <t>（未填写原因，需补）</t>
        </is>
      </c>
      <c r="J238" s="6" t="inlineStr">
        <is>
          <t>通过</t>
        </is>
      </c>
      <c r="K238" s="2" t="n"/>
      <c r="L238" s="2" t="inlineStr">
        <is>
          <t>2026-09-03</t>
        </is>
      </c>
      <c r="M238" s="3" t="n"/>
      <c r="N238" s="2" t="n"/>
    </row>
    <row r="239">
      <c r="A239" s="2" t="n">
        <v>238</v>
      </c>
      <c r="B239" s="2" t="inlineStr">
        <is>
          <t>PW-03</t>
        </is>
      </c>
      <c r="C239" s="3" t="inlineStr">
        <is>
          <t>电源</t>
        </is>
      </c>
      <c r="D239" s="3" t="inlineStr">
        <is>
          <t>主电容量</t>
        </is>
      </c>
      <c r="E239" s="2" t="inlineStr">
        <is>
          <t>P2</t>
        </is>
      </c>
      <c r="F239" s="3" t="inlineStr">
        <is>
          <t>5.4.11.2 ↔ 6.13.2</t>
        </is>
      </c>
      <c r="G239" s="3" t="inlineStr">
        <is>
          <t>一个回路接真实负载（回路线 1 000 m、1.0 mm² 铜绞线）；≤10 部位全报警 / &gt;10 部位时 20%（10～30 个）报警；连续 4 h</t>
        </is>
      </c>
      <c r="H239" s="3" t="inlineStr">
        <is>
          <t>4 h 正常工作</t>
        </is>
      </c>
      <c r="I239" s="4" t="inlineStr">
        <is>
          <t>（未填写原因，需补）</t>
        </is>
      </c>
      <c r="J239" s="6" t="inlineStr">
        <is>
          <t>通过</t>
        </is>
      </c>
      <c r="K239" s="2" t="n"/>
      <c r="L239" s="2" t="inlineStr">
        <is>
          <t>2026-09-03</t>
        </is>
      </c>
      <c r="M239" s="3" t="n"/>
      <c r="N239" s="2" t="n"/>
    </row>
    <row r="240">
      <c r="A240" s="2" t="n">
        <v>239</v>
      </c>
      <c r="B240" s="2" t="inlineStr">
        <is>
          <t>PW-04</t>
        </is>
      </c>
      <c r="C240" s="3" t="inlineStr">
        <is>
          <t>电源</t>
        </is>
      </c>
      <c r="D240" s="3" t="inlineStr">
        <is>
          <t>备电容量</t>
        </is>
      </c>
      <c r="E240" s="2" t="inlineStr">
        <is>
          <t>P2</t>
        </is>
      </c>
      <c r="F240" s="3" t="inlineStr">
        <is>
          <t>5.4.11.3 ↔ 6.13.3</t>
        </is>
      </c>
      <c r="G240" s="3" t="inlineStr">
        <is>
          <t>备电放至终止电压→充电 24 h→断主电监视 8 h→1/15 部位（10～30 个）报警工作 30 min</t>
        </is>
      </c>
      <c r="H240" s="3" t="inlineStr">
        <is>
          <t>全程正常工作</t>
        </is>
      </c>
      <c r="I240" s="4" t="inlineStr">
        <is>
          <t>（未填写原因，需补）</t>
        </is>
      </c>
      <c r="J240" s="6" t="inlineStr">
        <is>
          <t>通过</t>
        </is>
      </c>
      <c r="K240" s="2" t="n"/>
      <c r="L240" s="2" t="inlineStr">
        <is>
          <t>2026-09-03</t>
        </is>
      </c>
      <c r="M240" s="3" t="n"/>
      <c r="N240" s="2" t="n"/>
    </row>
    <row r="241">
      <c r="A241" s="2" t="n">
        <v>240</v>
      </c>
      <c r="B241" s="2" t="inlineStr">
        <is>
          <t>PW-05</t>
        </is>
      </c>
      <c r="C241" s="3" t="inlineStr">
        <is>
          <t>电源</t>
        </is>
      </c>
      <c r="D241" s="3" t="n"/>
      <c r="E241" s="2" t="inlineStr">
        <is>
          <t>P1</t>
        </is>
      </c>
      <c r="F241" s="3" t="inlineStr">
        <is>
          <t>5.4.11.4 ↔ 6.13.2.3</t>
        </is>
      </c>
      <c r="G241" s="3" t="inlineStr">
        <is>
          <t>直流输出稳定度（总案）——220/187/242 V 下测输出直流电压；等效负载阶跃测负载稳定度</t>
        </is>
      </c>
      <c r="H241" s="3" t="inlineStr">
        <is>
          <t>见子项</t>
        </is>
      </c>
      <c r="I241" s="4" t="inlineStr">
        <is>
          <t>（未填写原因，需补）</t>
        </is>
      </c>
      <c r="J241" s="6" t="inlineStr">
        <is>
          <t>通过</t>
        </is>
      </c>
      <c r="K241" s="2" t="n"/>
      <c r="L241" s="2" t="inlineStr">
        <is>
          <t>2026-09-03</t>
        </is>
      </c>
      <c r="M241" s="3" t="n"/>
      <c r="N241" s="2" t="n"/>
    </row>
    <row r="242">
      <c r="A242" s="2" t="n">
        <v>241</v>
      </c>
      <c r="B242" s="2" t="inlineStr">
        <is>
          <t>PW-05.1</t>
        </is>
      </c>
      <c r="C242" s="3" t="inlineStr">
        <is>
          <t>电源</t>
        </is>
      </c>
      <c r="D242" s="3" t="inlineStr">
        <is>
          <t>电压稳定度</t>
        </is>
      </c>
      <c r="E242" s="2" t="inlineStr">
        <is>
          <t>P1</t>
        </is>
      </c>
      <c r="F242" s="3" t="inlineStr">
        <is>
          <t>5.4.11.4</t>
        </is>
      </c>
      <c r="G242" s="3" t="inlineStr">
        <is>
          <t>（见父案步骤）</t>
        </is>
      </c>
      <c r="H242" s="3" t="inlineStr">
        <is>
          <t>电压稳定度 ≤5%</t>
        </is>
      </c>
      <c r="I242" s="4" t="inlineStr">
        <is>
          <t>（未填写原因，需补）</t>
        </is>
      </c>
      <c r="J242" s="6" t="inlineStr">
        <is>
          <t>通过</t>
        </is>
      </c>
      <c r="K242" s="2" t="n"/>
      <c r="L242" s="2" t="inlineStr">
        <is>
          <t>2026-09-03</t>
        </is>
      </c>
      <c r="M242" s="3" t="n"/>
      <c r="N242" s="2" t="n"/>
    </row>
    <row r="243">
      <c r="A243" s="2" t="n">
        <v>242</v>
      </c>
      <c r="B243" s="2" t="inlineStr">
        <is>
          <t>PW-05.2</t>
        </is>
      </c>
      <c r="C243" s="3" t="inlineStr">
        <is>
          <t>电源</t>
        </is>
      </c>
      <c r="D243" s="3" t="inlineStr">
        <is>
          <t>负载稳定度</t>
        </is>
      </c>
      <c r="E243" s="2" t="inlineStr">
        <is>
          <t>P1</t>
        </is>
      </c>
      <c r="F243" s="3" t="inlineStr">
        <is>
          <t>5.4.11.4</t>
        </is>
      </c>
      <c r="G243" s="3" t="inlineStr">
        <is>
          <t>（见父案步骤）</t>
        </is>
      </c>
      <c r="H243" s="3" t="inlineStr">
        <is>
          <t>负载稳定度 ≤5%</t>
        </is>
      </c>
      <c r="I243" s="4" t="inlineStr">
        <is>
          <t>（未填写原因，需补）</t>
        </is>
      </c>
      <c r="J243" s="6" t="inlineStr">
        <is>
          <t>通过</t>
        </is>
      </c>
      <c r="K243" s="2" t="n"/>
      <c r="L243" s="2" t="inlineStr">
        <is>
          <t>2026-09-03</t>
        </is>
      </c>
      <c r="M243" s="3" t="n"/>
      <c r="N243" s="2" t="n"/>
    </row>
    <row r="244">
      <c r="A244" s="2" t="n">
        <v>243</v>
      </c>
      <c r="B244" s="2" t="inlineStr">
        <is>
          <t>PW-06</t>
        </is>
      </c>
      <c r="C244" s="3" t="inlineStr">
        <is>
          <t>电源</t>
        </is>
      </c>
      <c r="D244" s="3" t="n"/>
      <c r="E244" s="2" t="inlineStr">
        <is>
          <t>P1</t>
        </is>
      </c>
      <c r="F244" s="3" t="inlineStr">
        <is>
          <t>6.13.2.4</t>
        </is>
      </c>
      <c r="G244" s="3" t="inlineStr">
        <is>
          <t>总线末端压降（总案）——回路接 1 000 m、1.0 mm² 铜绞线，末端接 10 只探测器；187/220/242 V 下使末端 10 只全部报警</t>
        </is>
      </c>
      <c r="H244" s="3" t="inlineStr">
        <is>
          <t>见子项</t>
        </is>
      </c>
      <c r="I244" s="4" t="inlineStr">
        <is>
          <t>（未填写原因，需补）</t>
        </is>
      </c>
      <c r="J244" s="6" t="inlineStr">
        <is>
          <t>通过</t>
        </is>
      </c>
      <c r="K244" s="2" t="n"/>
      <c r="L244" s="2" t="inlineStr">
        <is>
          <t>2026-09-03</t>
        </is>
      </c>
      <c r="M244" s="3" t="n"/>
      <c r="N244" s="2" t="n"/>
    </row>
    <row r="245">
      <c r="A245" s="2" t="n">
        <v>244</v>
      </c>
      <c r="B245" s="2" t="inlineStr">
        <is>
          <t>PW-06.1</t>
        </is>
      </c>
      <c r="C245" s="3" t="inlineStr">
        <is>
          <t>电源</t>
        </is>
      </c>
      <c r="D245" s="3" t="inlineStr">
        <is>
          <t>末端正常报警</t>
        </is>
      </c>
      <c r="E245" s="2" t="inlineStr">
        <is>
          <t>P1</t>
        </is>
      </c>
      <c r="F245" s="3" t="inlineStr">
        <is>
          <t>6.13.2.4</t>
        </is>
      </c>
      <c r="G245" s="3" t="inlineStr">
        <is>
          <t>（见父案步骤）</t>
        </is>
      </c>
      <c r="H245" s="3" t="inlineStr">
        <is>
          <t>末端探测器正常报警</t>
        </is>
      </c>
      <c r="I245" s="4" t="inlineStr">
        <is>
          <t>（未填写原因，需补）</t>
        </is>
      </c>
      <c r="J245" s="6" t="inlineStr">
        <is>
          <t>通过</t>
        </is>
      </c>
      <c r="K245" s="2" t="n"/>
      <c r="L245" s="2" t="inlineStr">
        <is>
          <t>2026-09-03</t>
        </is>
      </c>
      <c r="M245" s="3" t="n"/>
      <c r="N245" s="2" t="n"/>
    </row>
    <row r="246">
      <c r="A246" s="2" t="n">
        <v>245</v>
      </c>
      <c r="B246" s="2" t="inlineStr">
        <is>
          <t>PW-06.2</t>
        </is>
      </c>
      <c r="C246" s="3" t="inlineStr">
        <is>
          <t>电源</t>
        </is>
      </c>
      <c r="D246" s="3" t="inlineStr">
        <is>
          <t>确认灯与收发</t>
        </is>
      </c>
      <c r="E246" s="2" t="inlineStr">
        <is>
          <t>P1</t>
        </is>
      </c>
      <c r="F246" s="3" t="inlineStr">
        <is>
          <t>6.13.2.4</t>
        </is>
      </c>
      <c r="G246" s="3" t="inlineStr">
        <is>
          <t>（见父案步骤）</t>
        </is>
      </c>
      <c r="H246" s="3" t="inlineStr">
        <is>
          <t>确认灯及信号收发正常</t>
        </is>
      </c>
      <c r="I246" s="4" t="inlineStr">
        <is>
          <t>（未填写原因，需补）</t>
        </is>
      </c>
      <c r="J246" s="6" t="inlineStr">
        <is>
          <t>通过</t>
        </is>
      </c>
      <c r="K246" s="2" t="n"/>
      <c r="L246" s="2" t="inlineStr">
        <is>
          <t>2026-09-03</t>
        </is>
      </c>
      <c r="M246" s="3" t="n"/>
      <c r="N246" s="2" t="n"/>
    </row>
    <row r="247">
      <c r="A247" s="2" t="n">
        <v>246</v>
      </c>
      <c r="B247" s="2" t="inlineStr">
        <is>
          <t>PW-07</t>
        </is>
      </c>
      <c r="C247" s="3" t="inlineStr">
        <is>
          <t>电源</t>
        </is>
      </c>
      <c r="D247" s="3" t="n"/>
      <c r="E247" s="2" t="inlineStr">
        <is>
          <t>P1</t>
        </is>
      </c>
      <c r="F247" s="3" t="inlineStr">
        <is>
          <t>5.3.7.4</t>
        </is>
      </c>
      <c r="G247" s="3" t="inlineStr">
        <is>
          <t>备电显示与分段保护（总案）——检查备电电压/电量显示；使某段电压降至 &lt;90% 额定</t>
        </is>
      </c>
      <c r="H247" s="3" t="inlineStr">
        <is>
          <t>见子项</t>
        </is>
      </c>
      <c r="I247" s="3" t="n"/>
      <c r="J247" s="2" t="inlineStr">
        <is>
          <t>通过</t>
        </is>
      </c>
      <c r="K247" s="2" t="n"/>
      <c r="L247" s="2" t="inlineStr">
        <is>
          <t>2026-09-03</t>
        </is>
      </c>
      <c r="M247" s="3" t="n"/>
      <c r="N247" s="2" t="n"/>
    </row>
    <row r="248">
      <c r="A248" s="2" t="n">
        <v>247</v>
      </c>
      <c r="B248" s="2" t="inlineStr">
        <is>
          <t>PW-07.1</t>
        </is>
      </c>
      <c r="C248" s="3" t="inlineStr">
        <is>
          <t>电源</t>
        </is>
      </c>
      <c r="D248" s="3" t="inlineStr">
        <is>
          <t>电压电量显示</t>
        </is>
      </c>
      <c r="E248" s="2" t="inlineStr">
        <is>
          <t>P1</t>
        </is>
      </c>
      <c r="F248" s="3" t="inlineStr">
        <is>
          <t>5.3.7.4</t>
        </is>
      </c>
      <c r="G248" s="3" t="inlineStr">
        <is>
          <t>（见父案步骤）</t>
        </is>
      </c>
      <c r="H248" s="3" t="inlineStr">
        <is>
          <t>显示备电电压和电量</t>
        </is>
      </c>
      <c r="I248" s="3" t="n"/>
      <c r="J248" s="2" t="inlineStr">
        <is>
          <t>通过</t>
        </is>
      </c>
      <c r="K248" s="2" t="n"/>
      <c r="L248" s="2" t="inlineStr">
        <is>
          <t>2026-09-03</t>
        </is>
      </c>
      <c r="M248" s="3" t="n"/>
      <c r="N248" s="2" t="n"/>
    </row>
    <row r="249">
      <c r="A249" s="2" t="n">
        <v>248</v>
      </c>
      <c r="B249" s="2" t="inlineStr">
        <is>
          <t>PW-07.2</t>
        </is>
      </c>
      <c r="C249" s="3" t="inlineStr">
        <is>
          <t>电源</t>
        </is>
      </c>
      <c r="D249" s="3" t="inlineStr">
        <is>
          <t>分段保护与显示</t>
        </is>
      </c>
      <c r="E249" s="2" t="inlineStr">
        <is>
          <t>P1</t>
        </is>
      </c>
      <c r="F249" s="3" t="inlineStr">
        <is>
          <t>5.3.7.4</t>
        </is>
      </c>
      <c r="G249" s="3" t="inlineStr">
        <is>
          <t>（见父案步骤）</t>
        </is>
      </c>
      <c r="H249" s="3" t="inlineStr">
        <is>
          <t>串接电池组额定 ≤12 V 时分段保护并显示每段电压（每段 ≤13 V）</t>
        </is>
      </c>
      <c r="I249" s="4" t="inlineStr">
        <is>
          <t>（未填写原因，需补）</t>
        </is>
      </c>
      <c r="J249" s="6" t="inlineStr">
        <is>
          <t>通过</t>
        </is>
      </c>
      <c r="K249" s="2" t="n"/>
      <c r="L249" s="2" t="inlineStr">
        <is>
          <t>2026-09-03</t>
        </is>
      </c>
      <c r="M249" s="3" t="n"/>
      <c r="N249" s="2" t="n"/>
    </row>
    <row r="250">
      <c r="A250" s="2" t="n">
        <v>249</v>
      </c>
      <c r="B250" s="2" t="inlineStr">
        <is>
          <t>PW-07.3</t>
        </is>
      </c>
      <c r="C250" s="3" t="inlineStr">
        <is>
          <t>电源</t>
        </is>
      </c>
      <c r="D250" s="3" t="inlineStr">
        <is>
          <t>分段欠压报障</t>
        </is>
      </c>
      <c r="E250" s="2" t="inlineStr">
        <is>
          <t>P1</t>
        </is>
      </c>
      <c r="F250" s="3" t="inlineStr">
        <is>
          <t>5.3.7.4</t>
        </is>
      </c>
      <c r="G250" s="3" t="inlineStr">
        <is>
          <t>（见父案步骤）</t>
        </is>
      </c>
      <c r="H250" s="3" t="inlineStr">
        <is>
          <t>任一段 &lt;90% 额定→故障声光并指示部位</t>
        </is>
      </c>
      <c r="I250" s="4" t="inlineStr">
        <is>
          <t>（未填写原因，需补）</t>
        </is>
      </c>
      <c r="J250" s="6" t="inlineStr">
        <is>
          <t>通过</t>
        </is>
      </c>
      <c r="K250" s="2" t="n"/>
      <c r="L250" s="2" t="inlineStr">
        <is>
          <t>2026-09-03</t>
        </is>
      </c>
      <c r="M250" s="3" t="n"/>
      <c r="N250" s="2" t="n"/>
    </row>
    <row r="251">
      <c r="A251" s="2" t="n">
        <v>250</v>
      </c>
      <c r="B251" s="2" t="inlineStr">
        <is>
          <t>PW-08</t>
        </is>
      </c>
      <c r="C251" s="3" t="inlineStr">
        <is>
          <t>电源</t>
        </is>
      </c>
      <c r="D251" s="3" t="inlineStr">
        <is>
          <t>备电电池选型检查</t>
        </is>
      </c>
      <c r="E251" s="2" t="inlineStr">
        <is>
          <t>P0（设计检查）</t>
        </is>
      </c>
      <c r="F251" s="3" t="inlineStr">
        <is>
          <t>5.3.7.3</t>
        </is>
      </c>
      <c r="G251" s="3" t="inlineStr">
        <is>
          <t>核对电池化学体系</t>
        </is>
      </c>
      <c r="H251" s="3" t="inlineStr">
        <is>
          <t>禁用钴酸锂、三元锂及其他含钴锂电池</t>
        </is>
      </c>
      <c r="I251" s="3" t="n"/>
      <c r="J251" s="2" t="inlineStr">
        <is>
          <t>通过</t>
        </is>
      </c>
      <c r="K251" s="2" t="n"/>
      <c r="L251" s="2" t="inlineStr">
        <is>
          <t>2026-09-03</t>
        </is>
      </c>
      <c r="M251" s="3" t="n"/>
      <c r="N251" s="2" t="n"/>
    </row>
    <row r="252">
      <c r="A252" s="2" t="n">
        <v>251</v>
      </c>
      <c r="B252" s="2" t="inlineStr">
        <is>
          <t>WD-01</t>
        </is>
      </c>
      <c r="C252" s="3" t="inlineStr">
        <is>
          <t>看门狗</t>
        </is>
      </c>
      <c r="D252" s="3" t="n"/>
      <c r="E252" s="2" t="inlineStr">
        <is>
          <t>P0</t>
        </is>
      </c>
      <c r="F252" s="3" t="inlineStr">
        <is>
          <t>5.4.12.1 ↔ 6.14.2</t>
        </is>
      </c>
      <c r="G252" s="3" t="inlineStr">
        <is>
          <t>看门狗系统故障（总案）——操作"模拟 MCU 不能正常运行装置"使主程序停摆，计时</t>
        </is>
      </c>
      <c r="H252" s="3" t="inlineStr">
        <is>
          <t>见子项</t>
        </is>
      </c>
      <c r="I252" s="3" t="n"/>
      <c r="J252" s="2" t="inlineStr">
        <is>
          <t>待测</t>
        </is>
      </c>
      <c r="K252" s="2" t="n"/>
      <c r="L252" s="2" t="n"/>
      <c r="M252" s="3" t="n"/>
      <c r="N252" s="2" t="n"/>
    </row>
    <row r="253">
      <c r="A253" s="2" t="n">
        <v>252</v>
      </c>
      <c r="B253" s="2" t="inlineStr">
        <is>
          <t>WD-01.1</t>
        </is>
      </c>
      <c r="C253" s="3" t="inlineStr">
        <is>
          <t>看门狗</t>
        </is>
      </c>
      <c r="D253" s="3" t="inlineStr">
        <is>
          <t>系统故障时限</t>
        </is>
      </c>
      <c r="E253" s="2" t="inlineStr">
        <is>
          <t>P0</t>
        </is>
      </c>
      <c r="F253" s="3" t="inlineStr">
        <is>
          <t>5.4.12.1</t>
        </is>
      </c>
      <c r="G253" s="3" t="inlineStr">
        <is>
          <t>（见父案步骤）</t>
        </is>
      </c>
      <c r="H253" s="3" t="inlineStr">
        <is>
          <t>≤100 s 发出系统故障信号</t>
        </is>
      </c>
      <c r="I253" s="3" t="n"/>
      <c r="J253" s="2" t="inlineStr">
        <is>
          <t>待测</t>
        </is>
      </c>
      <c r="K253" s="2" t="n"/>
      <c r="L253" s="2" t="n"/>
      <c r="M253" s="3" t="n"/>
      <c r="N253" s="2" t="n"/>
    </row>
    <row r="254">
      <c r="A254" s="2" t="n">
        <v>253</v>
      </c>
      <c r="B254" s="2" t="inlineStr">
        <is>
          <t>WD-01.2</t>
        </is>
      </c>
      <c r="C254" s="3" t="inlineStr">
        <is>
          <t>看门狗</t>
        </is>
      </c>
      <c r="D254" s="3" t="inlineStr">
        <is>
          <t>系统故障灯</t>
        </is>
      </c>
      <c r="E254" s="2" t="inlineStr">
        <is>
          <t>P0</t>
        </is>
      </c>
      <c r="F254" s="3" t="inlineStr">
        <is>
          <t>5.4.12.1/5.4.3.7</t>
        </is>
      </c>
      <c r="G254" s="3" t="inlineStr">
        <is>
          <t>（见父案步骤）</t>
        </is>
      </c>
      <c r="H254" s="3" t="inlineStr">
        <is>
          <t>点亮单独的系统故障灯</t>
        </is>
      </c>
      <c r="I254" s="3" t="n"/>
      <c r="J254" s="2" t="inlineStr">
        <is>
          <t>待测</t>
        </is>
      </c>
      <c r="K254" s="2" t="n"/>
      <c r="L254" s="2" t="n"/>
      <c r="M254" s="3" t="n"/>
      <c r="N254" s="2" t="n"/>
    </row>
    <row r="255">
      <c r="A255" s="2" t="n">
        <v>254</v>
      </c>
      <c r="B255" s="2" t="inlineStr">
        <is>
          <t>WD-01.3</t>
        </is>
      </c>
      <c r="C255" s="3" t="inlineStr">
        <is>
          <t>看门狗</t>
        </is>
      </c>
      <c r="D255" s="3" t="inlineStr">
        <is>
          <t>异常态·不发火警</t>
        </is>
      </c>
      <c r="E255" s="2" t="inlineStr">
        <is>
          <t>P0</t>
        </is>
      </c>
      <c r="F255" s="3" t="inlineStr">
        <is>
          <t>5.4.12.1 注</t>
        </is>
      </c>
      <c r="G255" s="3" t="inlineStr">
        <is>
          <t>（见父案步骤）</t>
        </is>
      </c>
      <c r="H255" s="3" t="inlineStr">
        <is>
          <t>进入异常状态：不发火警</t>
        </is>
      </c>
      <c r="I255" s="3" t="n"/>
      <c r="J255" s="2" t="inlineStr">
        <is>
          <t>待测</t>
        </is>
      </c>
      <c r="K255" s="2" t="n"/>
      <c r="L255" s="2" t="n"/>
      <c r="M255" s="3" t="n"/>
      <c r="N255" s="2" t="n"/>
    </row>
    <row r="256">
      <c r="A256" s="2" t="n">
        <v>255</v>
      </c>
      <c r="B256" s="2" t="inlineStr">
        <is>
          <t>WD-01.4</t>
        </is>
      </c>
      <c r="C256" s="3" t="inlineStr">
        <is>
          <t>看门狗</t>
        </is>
      </c>
      <c r="D256" s="3" t="inlineStr">
        <is>
          <t>异常态·不启动输出</t>
        </is>
      </c>
      <c r="E256" s="2" t="inlineStr">
        <is>
          <t>P0</t>
        </is>
      </c>
      <c r="F256" s="3" t="inlineStr">
        <is>
          <t>5.4.12.1 注</t>
        </is>
      </c>
      <c r="G256" s="3" t="inlineStr">
        <is>
          <t>（见父案步骤）</t>
        </is>
      </c>
      <c r="H256" s="3" t="inlineStr">
        <is>
          <t>进入异常状态：不启动输出</t>
        </is>
      </c>
      <c r="I256" s="3" t="n"/>
      <c r="J256" s="2" t="inlineStr">
        <is>
          <t>待测</t>
        </is>
      </c>
      <c r="K256" s="2" t="n"/>
      <c r="L256" s="2" t="n"/>
      <c r="M256" s="3" t="n"/>
      <c r="N256" s="2" t="n"/>
    </row>
    <row r="257">
      <c r="A257" s="2" t="n">
        <v>256</v>
      </c>
      <c r="B257" s="2" t="inlineStr">
        <is>
          <t>WD-01.5</t>
        </is>
      </c>
      <c r="C257" s="3" t="inlineStr">
        <is>
          <t>看门狗</t>
        </is>
      </c>
      <c r="D257" s="3" t="inlineStr">
        <is>
          <t>异常态·不上传</t>
        </is>
      </c>
      <c r="E257" s="2" t="inlineStr">
        <is>
          <t>P0</t>
        </is>
      </c>
      <c r="F257" s="3" t="inlineStr">
        <is>
          <t>5.4.12.1 注</t>
        </is>
      </c>
      <c r="G257" s="3" t="inlineStr">
        <is>
          <t>（见父案步骤）</t>
        </is>
      </c>
      <c r="H257" s="3" t="inlineStr">
        <is>
          <t>进入异常状态：不上传 CRT</t>
        </is>
      </c>
      <c r="I257" s="4" t="inlineStr">
        <is>
          <t>（未填写原因，需补）</t>
        </is>
      </c>
      <c r="J257" s="6" t="inlineStr">
        <is>
          <t>待测</t>
        </is>
      </c>
      <c r="K257" s="2" t="n"/>
      <c r="L257" s="2" t="inlineStr">
        <is>
          <t>2026-08-18</t>
        </is>
      </c>
      <c r="M257" s="3" t="n"/>
      <c r="N257" s="2" t="n"/>
    </row>
    <row r="258">
      <c r="A258" s="2" t="n">
        <v>257</v>
      </c>
      <c r="B258" s="2" t="inlineStr">
        <is>
          <t>WD-02</t>
        </is>
      </c>
      <c r="C258" s="3" t="inlineStr">
        <is>
          <t>看门狗</t>
        </is>
      </c>
      <c r="D258" s="3" t="inlineStr">
        <is>
          <t>存储器出错检测</t>
        </is>
      </c>
      <c r="E258" s="2" t="inlineStr">
        <is>
          <t>P0</t>
        </is>
      </c>
      <c r="F258" s="3" t="inlineStr">
        <is>
          <t>5.4.12.1 ↔ 6.14.3</t>
        </is>
      </c>
      <c r="G258" s="3" t="inlineStr">
        <is>
          <t>使程序区/指定数据区内容出错</t>
        </is>
      </c>
      <c r="H258" s="3" t="inlineStr">
        <is>
          <t>同 WD-01 判定（子项结构同 WD-01.1～.5，本稿不重复展开）</t>
        </is>
      </c>
      <c r="I258" s="3" t="n"/>
      <c r="J258" s="2" t="inlineStr">
        <is>
          <t>待测</t>
        </is>
      </c>
      <c r="K258" s="2" t="n"/>
      <c r="L258" s="2" t="n"/>
      <c r="M258" s="3" t="n"/>
      <c r="N258" s="2" t="n"/>
    </row>
    <row r="259">
      <c r="A259" s="2" t="n">
        <v>258</v>
      </c>
      <c r="B259" s="2" t="inlineStr">
        <is>
          <t>WD-03</t>
        </is>
      </c>
      <c r="C259" s="3" t="inlineStr">
        <is>
          <t>看门狗</t>
        </is>
      </c>
      <c r="D259" s="3" t="inlineStr">
        <is>
          <t>数据输入防意外执行</t>
        </is>
      </c>
      <c r="E259" s="2" t="inlineStr">
        <is>
          <t>P0</t>
        </is>
      </c>
      <c r="F259" s="3" t="inlineStr">
        <is>
          <t>5.4.12.2 ↔ 6.14.4</t>
        </is>
      </c>
      <c r="G259" s="3" t="inlineStr">
        <is>
          <t>各状态下手动/程序输入数据</t>
        </is>
      </c>
      <c r="H259" s="3" t="inlineStr">
        <is>
          <t>不引起程序意外执行</t>
        </is>
      </c>
      <c r="I259" s="3" t="n"/>
      <c r="J259" s="2" t="inlineStr">
        <is>
          <t>待测</t>
        </is>
      </c>
      <c r="K259" s="2" t="n"/>
      <c r="L259" s="2" t="n"/>
      <c r="M259" s="3" t="n"/>
      <c r="N259" s="2" t="n"/>
    </row>
    <row r="260">
      <c r="A260" s="2" t="n">
        <v>259</v>
      </c>
      <c r="B260" s="2" t="inlineStr">
        <is>
          <t>WD-04</t>
        </is>
      </c>
      <c r="C260" s="3" t="inlineStr">
        <is>
          <t>看门狗</t>
        </is>
      </c>
      <c r="D260" s="3" t="n"/>
      <c r="E260" s="2" t="inlineStr">
        <is>
          <t>P1</t>
        </is>
      </c>
      <c r="F260" s="3" t="inlineStr">
        <is>
          <t>5.4.12.3 ↔ 6.14.5</t>
        </is>
      </c>
      <c r="G260" s="3" t="inlineStr">
        <is>
          <t>探测器确认灯（总案）——使探测器报警观察确认灯</t>
        </is>
      </c>
      <c r="H260" s="3" t="inlineStr">
        <is>
          <t>见子项</t>
        </is>
      </c>
      <c r="I260" s="3" t="n"/>
      <c r="J260" s="2" t="inlineStr">
        <is>
          <t>待测</t>
        </is>
      </c>
      <c r="K260" s="2" t="n"/>
      <c r="L260" s="2" t="n"/>
      <c r="M260" s="3" t="n"/>
      <c r="N260" s="2" t="n"/>
    </row>
    <row r="261">
      <c r="A261" s="2" t="n">
        <v>260</v>
      </c>
      <c r="B261" s="2" t="inlineStr">
        <is>
          <t>WD-04.1</t>
        </is>
      </c>
      <c r="C261" s="3" t="inlineStr">
        <is>
          <t>看门狗</t>
        </is>
      </c>
      <c r="D261" s="3" t="inlineStr">
        <is>
          <t>同步启动</t>
        </is>
      </c>
      <c r="E261" s="2" t="inlineStr">
        <is>
          <t>P1</t>
        </is>
      </c>
      <c r="F261" s="3" t="inlineStr">
        <is>
          <t>5.4.12.3</t>
        </is>
      </c>
      <c r="G261" s="3" t="inlineStr">
        <is>
          <t>（见父案步骤）</t>
        </is>
      </c>
      <c r="H261" s="3" t="inlineStr">
        <is>
          <t>发火警同时启动确认灯</t>
        </is>
      </c>
      <c r="I261" s="3" t="n"/>
      <c r="J261" s="2" t="inlineStr">
        <is>
          <t>待测</t>
        </is>
      </c>
      <c r="K261" s="2" t="n"/>
      <c r="L261" s="2" t="n"/>
      <c r="M261" s="3" t="n"/>
      <c r="N261" s="2" t="n"/>
    </row>
    <row r="262">
      <c r="A262" s="2" t="n">
        <v>261</v>
      </c>
      <c r="B262" s="2" t="inlineStr">
        <is>
          <t>WD-04.2</t>
        </is>
      </c>
      <c r="C262" s="3" t="inlineStr">
        <is>
          <t>看门狗</t>
        </is>
      </c>
      <c r="D262" s="3" t="inlineStr">
        <is>
          <t>常亮</t>
        </is>
      </c>
      <c r="E262" s="2" t="inlineStr">
        <is>
          <t>P1</t>
        </is>
      </c>
      <c r="F262" s="3" t="inlineStr">
        <is>
          <t>5.4.12.3</t>
        </is>
      </c>
      <c r="G262" s="3" t="inlineStr">
        <is>
          <t>（见父案步骤）</t>
        </is>
      </c>
      <c r="H262" s="3" t="inlineStr">
        <is>
          <t>确认灯常亮</t>
        </is>
      </c>
      <c r="I262" s="3" t="n"/>
      <c r="J262" s="2" t="inlineStr">
        <is>
          <t>待测</t>
        </is>
      </c>
      <c r="K262" s="2" t="n"/>
      <c r="L262" s="2" t="n"/>
      <c r="M262" s="3" t="n"/>
      <c r="N262" s="2" t="n"/>
    </row>
    <row r="263">
      <c r="A263" s="2" t="n">
        <v>262</v>
      </c>
      <c r="B263" s="2" t="inlineStr">
        <is>
          <t>WD-04.3</t>
        </is>
      </c>
      <c r="C263" s="3" t="inlineStr">
        <is>
          <t>看门狗</t>
        </is>
      </c>
      <c r="D263" s="3" t="inlineStr">
        <is>
          <t>与监视态区别</t>
        </is>
      </c>
      <c r="E263" s="2" t="inlineStr">
        <is>
          <t>P1</t>
        </is>
      </c>
      <c r="F263" s="3" t="inlineStr">
        <is>
          <t>5.4.12.3</t>
        </is>
      </c>
      <c r="G263" s="3" t="inlineStr">
        <is>
          <t>（见父案步骤）</t>
        </is>
      </c>
      <c r="H263" s="3" t="inlineStr">
        <is>
          <t>与监视状态有明显区别</t>
        </is>
      </c>
      <c r="I263" s="3" t="n"/>
      <c r="J263" s="2" t="inlineStr">
        <is>
          <t>待测</t>
        </is>
      </c>
      <c r="K263" s="2" t="n"/>
      <c r="L263" s="2" t="n"/>
      <c r="M263" s="3" t="n"/>
      <c r="N263" s="2" t="n"/>
    </row>
    <row r="264">
      <c r="A264" s="2" t="n">
        <v>263</v>
      </c>
      <c r="B264" s="2" t="inlineStr">
        <is>
          <t>CM-01</t>
        </is>
      </c>
      <c r="C264" s="3" t="inlineStr">
        <is>
          <t>通信</t>
        </is>
      </c>
      <c r="D264" s="3" t="n"/>
      <c r="E264" s="2" t="inlineStr">
        <is>
          <t>P0</t>
        </is>
      </c>
      <c r="F264" s="3" t="inlineStr">
        <is>
          <t>5.4.10.1</t>
        </is>
      </c>
      <c r="G264" s="3" t="inlineStr">
        <is>
          <t>接口形态（总案）——检查物理接口</t>
        </is>
      </c>
      <c r="H264" s="3" t="inlineStr">
        <is>
          <t>见子项</t>
        </is>
      </c>
      <c r="I264" s="3" t="n"/>
      <c r="J264" s="2" t="inlineStr">
        <is>
          <t>待测</t>
        </is>
      </c>
      <c r="K264" s="2" t="n"/>
      <c r="L264" s="2" t="n"/>
      <c r="M264" s="3" t="n"/>
      <c r="N264" s="2" t="n"/>
    </row>
    <row r="265">
      <c r="A265" s="2" t="n">
        <v>264</v>
      </c>
      <c r="B265" s="2" t="inlineStr">
        <is>
          <t>CM-01.1</t>
        </is>
      </c>
      <c r="C265" s="3" t="inlineStr">
        <is>
          <t>通信</t>
        </is>
      </c>
      <c r="D265" s="3" t="inlineStr">
        <is>
          <t>接口类型</t>
        </is>
      </c>
      <c r="E265" s="2" t="inlineStr">
        <is>
          <t>P0</t>
        </is>
      </c>
      <c r="F265" s="3" t="inlineStr">
        <is>
          <t>5.4.10.1</t>
        </is>
      </c>
      <c r="G265" s="3" t="inlineStr">
        <is>
          <t>（见父案步骤）</t>
        </is>
      </c>
      <c r="H265" s="3" t="inlineStr">
        <is>
          <t>RS485 / CAN / 以太网至少一种</t>
        </is>
      </c>
      <c r="I265" s="3" t="n"/>
      <c r="J265" s="2" t="inlineStr">
        <is>
          <t>通过</t>
        </is>
      </c>
      <c r="K265" s="2" t="n"/>
      <c r="L265" s="2" t="n"/>
      <c r="M265" s="3" t="n"/>
      <c r="N265" s="2" t="n"/>
    </row>
    <row r="266">
      <c r="A266" s="2" t="n">
        <v>265</v>
      </c>
      <c r="B266" s="2" t="inlineStr">
        <is>
          <t>CM-01.2</t>
        </is>
      </c>
      <c r="C266" s="3" t="inlineStr">
        <is>
          <t>通信</t>
        </is>
      </c>
      <c r="D266" s="3" t="inlineStr">
        <is>
          <t>防脱落</t>
        </is>
      </c>
      <c r="E266" s="2" t="inlineStr">
        <is>
          <t>P0</t>
        </is>
      </c>
      <c r="F266" s="3" t="inlineStr">
        <is>
          <t>5.4.10.1</t>
        </is>
      </c>
      <c r="G266" s="3" t="inlineStr">
        <is>
          <t>（见父案步骤）</t>
        </is>
      </c>
      <c r="H266" s="3" t="inlineStr">
        <is>
          <t>有防脱落措施</t>
        </is>
      </c>
      <c r="I266" s="3" t="n"/>
      <c r="J266" s="2" t="inlineStr">
        <is>
          <t>通过</t>
        </is>
      </c>
      <c r="K266" s="2" t="n"/>
      <c r="L266" s="2" t="n"/>
      <c r="M266" s="3" t="n"/>
      <c r="N266" s="2" t="n"/>
    </row>
    <row r="267">
      <c r="A267" s="2" t="n">
        <v>266</v>
      </c>
      <c r="B267" s="2" t="inlineStr">
        <is>
          <t>CM-01.3</t>
        </is>
      </c>
      <c r="C267" s="3" t="inlineStr">
        <is>
          <t>通信</t>
        </is>
      </c>
      <c r="D267" s="3" t="inlineStr">
        <is>
          <t>防外网侵入</t>
        </is>
      </c>
      <c r="E267" s="2" t="inlineStr">
        <is>
          <t>P0</t>
        </is>
      </c>
      <c r="F267" s="3" t="inlineStr">
        <is>
          <t>5.4.10.1</t>
        </is>
      </c>
      <c r="G267" s="3" t="inlineStr">
        <is>
          <t>（见父案步骤）</t>
        </is>
      </c>
      <c r="H267" s="3" t="inlineStr">
        <is>
          <t>以太网需有防外网侵入措施</t>
        </is>
      </c>
      <c r="I267" s="3" t="n"/>
      <c r="J267" s="2" t="inlineStr">
        <is>
          <t>不适用</t>
        </is>
      </c>
      <c r="K267" s="2" t="n"/>
      <c r="L267" s="2" t="n"/>
      <c r="M267" s="3" t="n"/>
      <c r="N267" s="2" t="n"/>
    </row>
    <row r="268">
      <c r="A268" s="2" t="n">
        <v>267</v>
      </c>
      <c r="B268" s="2" t="inlineStr">
        <is>
          <t>CM-02</t>
        </is>
      </c>
      <c r="C268" s="3" t="inlineStr">
        <is>
          <t>通信</t>
        </is>
      </c>
      <c r="D268" s="3" t="n"/>
      <c r="E268" s="2" t="inlineStr">
        <is>
          <t>P0</t>
        </is>
      </c>
      <c r="F268" s="3" t="inlineStr">
        <is>
          <t>5.4.10.2 ↔ 6.12.3～6.12.7</t>
        </is>
      </c>
      <c r="G268" s="3" t="inlineStr">
        <is>
          <t>五类信息上报（总案）——分别触发火警、监管、联动（启动/反馈）、屏蔽、故障（含 5.4.3.3 a～c 与 5.4.3.4 a～c 各类）并在 CRT 端抓包比对</t>
        </is>
      </c>
      <c r="H268" s="3" t="inlineStr">
        <is>
          <t>见子项</t>
        </is>
      </c>
      <c r="I268" s="4" t="inlineStr">
        <is>
          <t>（未填写原因，需补）</t>
        </is>
      </c>
      <c r="J268" s="6" t="inlineStr">
        <is>
          <t>待测</t>
        </is>
      </c>
      <c r="K268" s="2" t="n"/>
      <c r="L268" s="2" t="inlineStr">
        <is>
          <t>2026-08-18</t>
        </is>
      </c>
      <c r="M268" s="3" t="n"/>
      <c r="N268" s="2" t="n"/>
    </row>
    <row r="269">
      <c r="A269" s="2" t="n">
        <v>268</v>
      </c>
      <c r="B269" s="2" t="inlineStr">
        <is>
          <t>CM-02.1</t>
        </is>
      </c>
      <c r="C269" s="3" t="inlineStr">
        <is>
          <t>通信</t>
        </is>
      </c>
      <c r="D269" s="3" t="inlineStr">
        <is>
          <t>上报字段完整</t>
        </is>
      </c>
      <c r="E269" s="2" t="inlineStr">
        <is>
          <t>P0</t>
        </is>
      </c>
      <c r="F269" s="3" t="inlineStr">
        <is>
          <t>5.4.10.2</t>
        </is>
      </c>
      <c r="G269" s="3" t="inlineStr">
        <is>
          <t>（见父案步骤）</t>
        </is>
      </c>
      <c r="H269" s="3" t="inlineStr">
        <is>
          <t>上报信息含类别、名称、部位、位置、时间、工作状态（含故障恢复状态）</t>
        </is>
      </c>
      <c r="I269" s="4" t="inlineStr">
        <is>
          <t>（未填写原因，需补）</t>
        </is>
      </c>
      <c r="J269" s="6" t="inlineStr">
        <is>
          <t>待测</t>
        </is>
      </c>
      <c r="K269" s="2" t="n"/>
      <c r="L269" s="2" t="inlineStr">
        <is>
          <t>2026-08-18</t>
        </is>
      </c>
      <c r="M269" s="3" t="n"/>
      <c r="N269" s="2" t="n"/>
    </row>
    <row r="270">
      <c r="A270" s="2" t="n">
        <v>269</v>
      </c>
      <c r="B270" s="2" t="inlineStr">
        <is>
          <t>CM-02.2</t>
        </is>
      </c>
      <c r="C270" s="3" t="inlineStr">
        <is>
          <t>通信</t>
        </is>
      </c>
      <c r="D270" s="3" t="inlineStr">
        <is>
          <t>内容一致性</t>
        </is>
      </c>
      <c r="E270" s="2" t="inlineStr">
        <is>
          <t>P0</t>
        </is>
      </c>
      <c r="F270" s="3" t="inlineStr">
        <is>
          <t>5.4.10.2</t>
        </is>
      </c>
      <c r="G270" s="3" t="inlineStr">
        <is>
          <t>（见父案步骤）</t>
        </is>
      </c>
      <c r="H270" s="3" t="inlineStr">
        <is>
          <t>内容与本机状态一致</t>
        </is>
      </c>
      <c r="I270" s="4" t="inlineStr">
        <is>
          <t>（未填写原因，需补）</t>
        </is>
      </c>
      <c r="J270" s="6" t="inlineStr">
        <is>
          <t>待测</t>
        </is>
      </c>
      <c r="K270" s="2" t="n"/>
      <c r="L270" s="2" t="inlineStr">
        <is>
          <t>2026-08-18</t>
        </is>
      </c>
      <c r="M270" s="3" t="n"/>
      <c r="N270" s="2" t="n"/>
    </row>
    <row r="271">
      <c r="A271" s="2" t="n">
        <v>270</v>
      </c>
      <c r="B271" s="2" t="inlineStr">
        <is>
          <t>CM-03</t>
        </is>
      </c>
      <c r="C271" s="3" t="inlineStr">
        <is>
          <t>通信</t>
        </is>
      </c>
      <c r="D271" s="3" t="inlineStr">
        <is>
          <t>授时接收</t>
        </is>
      </c>
      <c r="E271" s="2" t="inlineStr">
        <is>
          <t>P0</t>
        </is>
      </c>
      <c r="F271" s="3" t="inlineStr">
        <is>
          <t>5.4.10.3</t>
        </is>
      </c>
      <c r="G271" s="3" t="inlineStr">
        <is>
          <t>CRT 端下发授时</t>
        </is>
      </c>
      <c r="H271" s="3" t="inlineStr">
        <is>
          <t>控制器接收授时并校准时钟</t>
        </is>
      </c>
      <c r="I271" s="4" t="inlineStr">
        <is>
          <t>（未填写原因，需补）</t>
        </is>
      </c>
      <c r="J271" s="6" t="inlineStr">
        <is>
          <t>待测</t>
        </is>
      </c>
      <c r="K271" s="2" t="n"/>
      <c r="L271" s="2" t="inlineStr">
        <is>
          <t>2026-08-18</t>
        </is>
      </c>
      <c r="M271" s="3" t="n"/>
      <c r="N271" s="2" t="n"/>
    </row>
    <row r="272">
      <c r="A272" s="2" t="n">
        <v>271</v>
      </c>
      <c r="B272" s="2" t="inlineStr">
        <is>
          <t>CM-04</t>
        </is>
      </c>
      <c r="C272" s="3" t="inlineStr">
        <is>
          <t>通信</t>
        </is>
      </c>
      <c r="D272" s="3" t="inlineStr">
        <is>
          <t>协议一致性</t>
        </is>
      </c>
      <c r="E272" s="2" t="inlineStr">
        <is>
          <t>P0</t>
        </is>
      </c>
      <c r="F272" s="3" t="inlineStr">
        <is>
          <t>5.4.10.4 / 附录 C</t>
        </is>
      </c>
      <c r="G272" s="3" t="inlineStr">
        <is>
          <t>抓包核对帧结构</t>
        </is>
      </c>
      <c r="H272" s="3" t="inlineStr">
        <is>
          <t>符合附录 C（见 11.2）</t>
        </is>
      </c>
      <c r="I272" s="4" t="inlineStr">
        <is>
          <t>（未填写原因，需补）</t>
        </is>
      </c>
      <c r="J272" s="6" t="inlineStr">
        <is>
          <t>待测</t>
        </is>
      </c>
      <c r="K272" s="2" t="n"/>
      <c r="L272" s="2" t="inlineStr">
        <is>
          <t>2026-08-18</t>
        </is>
      </c>
      <c r="M272" s="3" t="n"/>
      <c r="N272" s="2" t="n"/>
    </row>
    <row r="273">
      <c r="A273" s="2" t="n">
        <v>272</v>
      </c>
      <c r="B273" s="2" t="inlineStr">
        <is>
          <t>CM-10</t>
        </is>
      </c>
      <c r="C273" s="3" t="inlineStr">
        <is>
          <t>通信</t>
        </is>
      </c>
      <c r="D273" s="3" t="n"/>
      <c r="E273" s="2" t="inlineStr">
        <is>
          <t>P1</t>
        </is>
      </c>
      <c r="F273" s="3" t="inlineStr">
        <is>
          <t>C.4.1 / C.6</t>
        </is>
      </c>
      <c r="G273" s="3" t="inlineStr">
        <is>
          <t>帧格式（总案）——抓包核对</t>
        </is>
      </c>
      <c r="H273" s="3" t="inlineStr">
        <is>
          <t>见子项</t>
        </is>
      </c>
      <c r="I273" s="4" t="inlineStr">
        <is>
          <t>（未填写原因，需补）</t>
        </is>
      </c>
      <c r="J273" s="6" t="inlineStr">
        <is>
          <t>待测</t>
        </is>
      </c>
      <c r="K273" s="2" t="n"/>
      <c r="L273" s="2" t="inlineStr">
        <is>
          <t>2026-08-18</t>
        </is>
      </c>
      <c r="M273" s="3" t="n"/>
      <c r="N273" s="2" t="n"/>
    </row>
    <row r="274">
      <c r="A274" s="2" t="n">
        <v>273</v>
      </c>
      <c r="B274" s="2" t="inlineStr">
        <is>
          <t>CM-10.1</t>
        </is>
      </c>
      <c r="C274" s="3" t="inlineStr">
        <is>
          <t>通信</t>
        </is>
      </c>
      <c r="D274" s="3" t="inlineStr">
        <is>
          <t>串行链路帧</t>
        </is>
      </c>
      <c r="E274" s="2" t="inlineStr">
        <is>
          <t>P1</t>
        </is>
      </c>
      <c r="F274" s="3" t="inlineStr">
        <is>
          <t>C.4.1 / C.6</t>
        </is>
      </c>
      <c r="G274" s="3" t="inlineStr">
        <is>
          <t>（见父案步骤）</t>
        </is>
      </c>
      <c r="H274" s="3" t="inlineStr">
        <is>
          <t>串行链路：起止符 0x7E、1起始+8数据+1停止无校验、波特率优先 4800/9600/19200</t>
        </is>
      </c>
      <c r="I274" s="4" t="inlineStr">
        <is>
          <t>（未填写原因，需补）</t>
        </is>
      </c>
      <c r="J274" s="6" t="inlineStr">
        <is>
          <t>待测</t>
        </is>
      </c>
      <c r="K274" s="2" t="n"/>
      <c r="L274" s="2" t="inlineStr">
        <is>
          <t>2026-08-18</t>
        </is>
      </c>
      <c r="M274" s="3" t="n"/>
      <c r="N274" s="2" t="n"/>
    </row>
    <row r="275">
      <c r="A275" s="2" t="n">
        <v>274</v>
      </c>
      <c r="B275" s="2" t="inlineStr">
        <is>
          <t>CM-10.2</t>
        </is>
      </c>
      <c r="C275" s="3" t="inlineStr">
        <is>
          <t>通信</t>
        </is>
      </c>
      <c r="D275" s="3" t="inlineStr">
        <is>
          <t>CRC</t>
        </is>
      </c>
      <c r="E275" s="2" t="inlineStr">
        <is>
          <t>P1</t>
        </is>
      </c>
      <c r="F275" s="3" t="inlineStr">
        <is>
          <t>C.4.1 / C.6</t>
        </is>
      </c>
      <c r="G275" s="3" t="inlineStr">
        <is>
          <t>（见父案步骤）</t>
        </is>
      </c>
      <c r="H275" s="3" t="inlineStr">
        <is>
          <t>CRC16 多项式 0xA001 低字节在前</t>
        </is>
      </c>
      <c r="I275" s="4" t="inlineStr">
        <is>
          <t>（未填写原因，需补）</t>
        </is>
      </c>
      <c r="J275" s="6" t="inlineStr">
        <is>
          <t>待测</t>
        </is>
      </c>
      <c r="K275" s="2" t="n"/>
      <c r="L275" s="2" t="inlineStr">
        <is>
          <t>2026-08-18</t>
        </is>
      </c>
      <c r="M275" s="3" t="n"/>
      <c r="N275" s="2" t="n"/>
    </row>
    <row r="276">
      <c r="A276" s="2" t="n">
        <v>275</v>
      </c>
      <c r="B276" s="2" t="inlineStr">
        <is>
          <t>CM-10.3</t>
        </is>
      </c>
      <c r="C276" s="3" t="inlineStr">
        <is>
          <t>通信</t>
        </is>
      </c>
      <c r="D276" s="3" t="inlineStr">
        <is>
          <t>CAN 参数</t>
        </is>
      </c>
      <c r="E276" s="2" t="inlineStr">
        <is>
          <t>P1</t>
        </is>
      </c>
      <c r="F276" s="3" t="inlineStr">
        <is>
          <t>C.4.1 / C.6</t>
        </is>
      </c>
      <c r="G276" s="3" t="inlineStr">
        <is>
          <t>（见父案步骤）</t>
        </is>
      </c>
      <c r="H276" s="3" t="inlineStr">
        <is>
          <t>CAN：2.0B 29 bit ID、波特率优先 5/10/20/50/100 Kbit/s</t>
        </is>
      </c>
      <c r="I276" s="4" t="inlineStr">
        <is>
          <t>（未填写原因，需补）</t>
        </is>
      </c>
      <c r="J276" s="6" t="inlineStr">
        <is>
          <t>待测</t>
        </is>
      </c>
      <c r="K276" s="2" t="n"/>
      <c r="L276" s="2" t="inlineStr">
        <is>
          <t>2026-08-18</t>
        </is>
      </c>
      <c r="M276" s="3" t="n"/>
      <c r="N276" s="2" t="n"/>
    </row>
    <row r="277">
      <c r="A277" s="2" t="n">
        <v>276</v>
      </c>
      <c r="B277" s="2" t="inlineStr">
        <is>
          <t>CM-11</t>
        </is>
      </c>
      <c r="C277" s="3" t="inlineStr">
        <is>
          <t>通信</t>
        </is>
      </c>
      <c r="D277" s="3" t="n"/>
      <c r="E277" s="2" t="inlineStr">
        <is>
          <t>P1</t>
        </is>
      </c>
      <c r="F277" s="3" t="inlineStr">
        <is>
          <t>C.3.2.2 / C.7.2.2</t>
        </is>
      </c>
      <c r="G277" s="3" t="inlineStr">
        <is>
          <t>地址与容量（总案）——配置地址边界值</t>
        </is>
      </c>
      <c r="H277" s="3" t="inlineStr">
        <is>
          <t>见子项</t>
        </is>
      </c>
      <c r="I277" s="4" t="inlineStr">
        <is>
          <t>（未填写原因，需补）</t>
        </is>
      </c>
      <c r="J277" s="6" t="inlineStr">
        <is>
          <t>待测</t>
        </is>
      </c>
      <c r="K277" s="2" t="n"/>
      <c r="L277" s="2" t="inlineStr">
        <is>
          <t>2026-08-18</t>
        </is>
      </c>
      <c r="M277" s="3" t="n"/>
      <c r="N277" s="2" t="n"/>
    </row>
    <row r="278">
      <c r="A278" s="2" t="n">
        <v>277</v>
      </c>
      <c r="B278" s="2" t="inlineStr">
        <is>
          <t>CM-11.1</t>
        </is>
      </c>
      <c r="C278" s="3" t="inlineStr">
        <is>
          <t>通信</t>
        </is>
      </c>
      <c r="D278" s="3" t="inlineStr">
        <is>
          <t>主控地址</t>
        </is>
      </c>
      <c r="E278" s="2" t="inlineStr">
        <is>
          <t>P1</t>
        </is>
      </c>
      <c r="F278" s="3" t="inlineStr">
        <is>
          <t>C.3.2.2</t>
        </is>
      </c>
      <c r="G278" s="3" t="inlineStr">
        <is>
          <t>（见父案步骤）</t>
        </is>
      </c>
      <c r="H278" s="3" t="inlineStr">
        <is>
          <t>主控节点地址=1</t>
        </is>
      </c>
      <c r="I278" s="4" t="inlineStr">
        <is>
          <t>（未填写原因，需补）</t>
        </is>
      </c>
      <c r="J278" s="6" t="inlineStr">
        <is>
          <t>待测</t>
        </is>
      </c>
      <c r="K278" s="2" t="n"/>
      <c r="L278" s="2" t="inlineStr">
        <is>
          <t>2026-08-18</t>
        </is>
      </c>
      <c r="M278" s="3" t="n"/>
      <c r="N278" s="2" t="n"/>
    </row>
    <row r="279">
      <c r="A279" s="2" t="n">
        <v>278</v>
      </c>
      <c r="B279" s="2" t="inlineStr">
        <is>
          <t>CM-11.2</t>
        </is>
      </c>
      <c r="C279" s="3" t="inlineStr">
        <is>
          <t>通信</t>
        </is>
      </c>
      <c r="D279" s="3" t="inlineStr">
        <is>
          <t>装置地址段</t>
        </is>
      </c>
      <c r="E279" s="2" t="inlineStr">
        <is>
          <t>P1</t>
        </is>
      </c>
      <c r="F279" s="3" t="inlineStr">
        <is>
          <t>C.3.2.2</t>
        </is>
      </c>
      <c r="G279" s="3" t="inlineStr">
        <is>
          <t>（见父案步骤）</t>
        </is>
      </c>
      <c r="H279" s="3" t="inlineStr">
        <is>
          <t>消防电气控制装置 2～63</t>
        </is>
      </c>
      <c r="I279" s="4" t="inlineStr">
        <is>
          <t>（未填写原因，需补）</t>
        </is>
      </c>
      <c r="J279" s="6" t="inlineStr">
        <is>
          <t>待测</t>
        </is>
      </c>
      <c r="K279" s="2" t="n"/>
      <c r="L279" s="2" t="inlineStr">
        <is>
          <t>2026-08-18</t>
        </is>
      </c>
      <c r="M279" s="3" t="n"/>
      <c r="N279" s="2" t="n"/>
    </row>
    <row r="280">
      <c r="A280" s="2" t="n">
        <v>279</v>
      </c>
      <c r="B280" s="2" t="inlineStr">
        <is>
          <t>CM-11.3</t>
        </is>
      </c>
      <c r="C280" s="3" t="inlineStr">
        <is>
          <t>通信</t>
        </is>
      </c>
      <c r="D280" s="3" t="inlineStr">
        <is>
          <t>广播地址</t>
        </is>
      </c>
      <c r="E280" s="2" t="inlineStr">
        <is>
          <t>P1</t>
        </is>
      </c>
      <c r="F280" s="3" t="inlineStr">
        <is>
          <t>C.3.2.2</t>
        </is>
      </c>
      <c r="G280" s="3" t="inlineStr">
        <is>
          <t>（见父案步骤）</t>
        </is>
      </c>
      <c r="H280" s="3" t="inlineStr">
        <is>
          <t>0=广播</t>
        </is>
      </c>
      <c r="I280" s="4" t="inlineStr">
        <is>
          <t>（未填写原因，需补）</t>
        </is>
      </c>
      <c r="J280" s="6" t="inlineStr">
        <is>
          <t>待测</t>
        </is>
      </c>
      <c r="K280" s="2" t="n"/>
      <c r="L280" s="2" t="inlineStr">
        <is>
          <t>2026-08-18</t>
        </is>
      </c>
      <c r="M280" s="3" t="n"/>
      <c r="N280" s="2" t="n"/>
    </row>
    <row r="281">
      <c r="A281" s="2" t="n">
        <v>280</v>
      </c>
      <c r="B281" s="2" t="inlineStr">
        <is>
          <t>CM-11.4</t>
        </is>
      </c>
      <c r="C281" s="3" t="inlineStr">
        <is>
          <t>通信</t>
        </is>
      </c>
      <c r="D281" s="3" t="inlineStr">
        <is>
          <t>容量上限</t>
        </is>
      </c>
      <c r="E281" s="2" t="inlineStr">
        <is>
          <t>P1</t>
        </is>
      </c>
      <c r="F281" s="3" t="inlineStr">
        <is>
          <t>C.3.2.2</t>
        </is>
      </c>
      <c r="G281" s="3" t="inlineStr">
        <is>
          <t>（见父案步骤）</t>
        </is>
      </c>
      <c r="H281" s="3" t="inlineStr">
        <is>
          <t>总数 ≤62</t>
        </is>
      </c>
      <c r="I281" s="4" t="inlineStr">
        <is>
          <t>（未填写原因，需补）</t>
        </is>
      </c>
      <c r="J281" s="6" t="inlineStr">
        <is>
          <t>待测</t>
        </is>
      </c>
      <c r="K281" s="2" t="n"/>
      <c r="L281" s="2" t="inlineStr">
        <is>
          <t>2026-08-18</t>
        </is>
      </c>
      <c r="M281" s="3" t="n"/>
      <c r="N281" s="2" t="n"/>
    </row>
    <row r="282">
      <c r="A282" s="2" t="n">
        <v>281</v>
      </c>
      <c r="B282" s="2" t="inlineStr">
        <is>
          <t>CM-12</t>
        </is>
      </c>
      <c r="C282" s="3" t="inlineStr">
        <is>
          <t>通信</t>
        </is>
      </c>
      <c r="D282" s="3" t="inlineStr">
        <is>
          <t>应答重发</t>
        </is>
      </c>
      <c r="E282" s="2" t="inlineStr">
        <is>
          <t>P1</t>
        </is>
      </c>
      <c r="F282" s="3" t="inlineStr">
        <is>
          <t>C.3.3</t>
        </is>
      </c>
      <c r="G282" s="3" t="inlineStr">
        <is>
          <t>屏蔽应答，观察重发</t>
        </is>
      </c>
      <c r="H282" s="3" t="inlineStr">
        <is>
          <t>1 s 未应答重发，≤3 次</t>
        </is>
      </c>
      <c r="I282" s="4" t="inlineStr">
        <is>
          <t>（未填写原因，需补）</t>
        </is>
      </c>
      <c r="J282" s="6" t="inlineStr">
        <is>
          <t>待测</t>
        </is>
      </c>
      <c r="K282" s="2" t="n"/>
      <c r="L282" s="2" t="inlineStr">
        <is>
          <t>2026-08-18</t>
        </is>
      </c>
      <c r="M282" s="3" t="n"/>
      <c r="N282" s="2" t="n"/>
    </row>
    <row r="283">
      <c r="A283" s="2" t="n">
        <v>282</v>
      </c>
      <c r="B283" s="2" t="inlineStr">
        <is>
          <t>CM-13</t>
        </is>
      </c>
      <c r="C283" s="3" t="inlineStr">
        <is>
          <t>通信</t>
        </is>
      </c>
      <c r="D283" s="3" t="n"/>
      <c r="E283" s="2" t="inlineStr">
        <is>
          <t>P1</t>
        </is>
      </c>
      <c r="F283" s="3" t="inlineStr">
        <is>
          <t>C.6</t>
        </is>
      </c>
      <c r="G283" s="3" t="inlineStr">
        <is>
          <t>建链流程（总案）——冷启动/断线重连抓包</t>
        </is>
      </c>
      <c r="H283" s="3" t="inlineStr">
        <is>
          <t>见子项</t>
        </is>
      </c>
      <c r="I283" s="4" t="inlineStr">
        <is>
          <t>（未填写原因，需补）</t>
        </is>
      </c>
      <c r="J283" s="6" t="inlineStr">
        <is>
          <t>待测</t>
        </is>
      </c>
      <c r="K283" s="2" t="n"/>
      <c r="L283" s="2" t="inlineStr">
        <is>
          <t>2026-08-18</t>
        </is>
      </c>
      <c r="M283" s="3" t="n"/>
      <c r="N283" s="2" t="n"/>
    </row>
    <row r="284">
      <c r="A284" s="2" t="n">
        <v>283</v>
      </c>
      <c r="B284" s="2" t="inlineStr">
        <is>
          <t>CM-13.1</t>
        </is>
      </c>
      <c r="C284" s="3" t="inlineStr">
        <is>
          <t>通信</t>
        </is>
      </c>
      <c r="D284" s="3" t="inlineStr">
        <is>
          <t>冷启动建链</t>
        </is>
      </c>
      <c r="E284" s="2" t="inlineStr">
        <is>
          <t>P1</t>
        </is>
      </c>
      <c r="F284" s="3" t="inlineStr">
        <is>
          <t>C.6</t>
        </is>
      </c>
      <c r="G284" s="3" t="inlineStr">
        <is>
          <t>（见父案步骤）</t>
        </is>
      </c>
      <c r="H284" s="3" t="inlineStr">
        <is>
          <t>主机发功能码 44（查协议版本）→应答→发 41（查当前事件）→记录</t>
        </is>
      </c>
      <c r="I284" s="4" t="inlineStr">
        <is>
          <t>（未填写原因，需补）</t>
        </is>
      </c>
      <c r="J284" s="6" t="inlineStr">
        <is>
          <t>待测</t>
        </is>
      </c>
      <c r="K284" s="2" t="n"/>
      <c r="L284" s="2" t="inlineStr">
        <is>
          <t>2026-08-18</t>
        </is>
      </c>
      <c r="M284" s="3" t="n"/>
      <c r="N284" s="2" t="n"/>
    </row>
    <row r="285">
      <c r="A285" s="2" t="n">
        <v>284</v>
      </c>
      <c r="B285" s="2" t="inlineStr">
        <is>
          <t>CM-13.2</t>
        </is>
      </c>
      <c r="C285" s="3" t="inlineStr">
        <is>
          <t>通信</t>
        </is>
      </c>
      <c r="D285" s="3" t="inlineStr">
        <is>
          <t>断线重连</t>
        </is>
      </c>
      <c r="E285" s="2" t="inlineStr">
        <is>
          <t>P1</t>
        </is>
      </c>
      <c r="F285" s="3" t="inlineStr">
        <is>
          <t>C.6</t>
        </is>
      </c>
      <c r="G285" s="3" t="inlineStr">
        <is>
          <t>（见父案步骤）</t>
        </is>
      </c>
      <c r="H285" s="3" t="inlineStr">
        <is>
          <t>中断重连同流程</t>
        </is>
      </c>
      <c r="I285" s="4" t="inlineStr">
        <is>
          <t>（未填写原因，需补）</t>
        </is>
      </c>
      <c r="J285" s="6" t="inlineStr">
        <is>
          <t>待测</t>
        </is>
      </c>
      <c r="K285" s="2" t="n"/>
      <c r="L285" s="2" t="inlineStr">
        <is>
          <t>2026-08-18</t>
        </is>
      </c>
      <c r="M285" s="3" t="n"/>
      <c r="N285" s="2" t="n"/>
    </row>
    <row r="286">
      <c r="A286" s="2" t="n">
        <v>285</v>
      </c>
      <c r="B286" s="2" t="inlineStr">
        <is>
          <t>CM-14</t>
        </is>
      </c>
      <c r="C286" s="3" t="inlineStr">
        <is>
          <t>通信</t>
        </is>
      </c>
      <c r="D286" s="3" t="inlineStr">
        <is>
          <t>状态应答码</t>
        </is>
      </c>
      <c r="E286" s="2" t="inlineStr">
        <is>
          <t>P1</t>
        </is>
      </c>
      <c r="F286" s="3" t="inlineStr">
        <is>
          <t>C.4.2.5</t>
        </is>
      </c>
      <c r="G286" s="3" t="inlineStr">
        <is>
          <t>构造 CRC 错、无效请求、地址不存在等异常帧</t>
        </is>
      </c>
      <c r="H286" s="3" t="inlineStr">
        <is>
          <t>应答码正确（1=CRC 错、2=无效服务、6=地址不存在、7=参数错误等）</t>
        </is>
      </c>
      <c r="I286" s="4" t="inlineStr">
        <is>
          <t>（未填写原因，需补）</t>
        </is>
      </c>
      <c r="J286" s="6" t="inlineStr">
        <is>
          <t>待测</t>
        </is>
      </c>
      <c r="K286" s="2" t="n"/>
      <c r="L286" s="2" t="inlineStr">
        <is>
          <t>2026-08-18</t>
        </is>
      </c>
      <c r="M286" s="3" t="n"/>
      <c r="N286" s="2" t="n"/>
    </row>
    <row r="287">
      <c r="A287" s="2" t="n">
        <v>286</v>
      </c>
      <c r="B287" s="2" t="inlineStr">
        <is>
          <t>CM-15</t>
        </is>
      </c>
      <c r="C287" s="3" t="inlineStr">
        <is>
          <t>通信</t>
        </is>
      </c>
      <c r="D287" s="3" t="n"/>
      <c r="E287" s="2" t="inlineStr">
        <is>
          <t>P1</t>
        </is>
      </c>
      <c r="F287" s="3" t="inlineStr">
        <is>
          <t>表 C.16/C.17/C.18；6.4.13</t>
        </is>
      </c>
      <c r="G287" s="3" t="inlineStr">
        <is>
          <t>事件/类型代码表与装置状态显示（总案）——对照抓包中设备类型、事件类型、状态位；将连接的消防电气控制装置分别置于手动/自动状态</t>
        </is>
      </c>
      <c r="H287" s="3" t="inlineStr">
        <is>
          <t>见子项</t>
        </is>
      </c>
      <c r="I287" s="4" t="inlineStr">
        <is>
          <t>（未填写原因，需补）</t>
        </is>
      </c>
      <c r="J287" s="6" t="inlineStr">
        <is>
          <t>待测</t>
        </is>
      </c>
      <c r="K287" s="2" t="n"/>
      <c r="L287" s="2" t="inlineStr">
        <is>
          <t>2026-08-18</t>
        </is>
      </c>
      <c r="M287" s="3" t="n"/>
      <c r="N287" s="2" t="n"/>
    </row>
    <row r="288">
      <c r="A288" s="2" t="n">
        <v>287</v>
      </c>
      <c r="B288" s="2" t="inlineStr">
        <is>
          <t>CM-15.1</t>
        </is>
      </c>
      <c r="C288" s="3" t="inlineStr">
        <is>
          <t>通信</t>
        </is>
      </c>
      <c r="D288" s="3" t="inlineStr">
        <is>
          <t>代码表一致</t>
        </is>
      </c>
      <c r="E288" s="2" t="inlineStr">
        <is>
          <t>P1</t>
        </is>
      </c>
      <c r="F288" s="3" t="inlineStr">
        <is>
          <t>表 C.16/C.17/C.18</t>
        </is>
      </c>
      <c r="G288" s="3" t="inlineStr">
        <is>
          <t>（见父案步骤）</t>
        </is>
      </c>
      <c r="H288" s="3" t="inlineStr">
        <is>
          <t>与代码表一致（如 2=首火警、3=火警、19=启动、26=反馈、122=复位；状态 bit0=手/自动等）</t>
        </is>
      </c>
      <c r="I288" s="4" t="inlineStr">
        <is>
          <t>（未填写原因，需补）</t>
        </is>
      </c>
      <c r="J288" s="6" t="inlineStr">
        <is>
          <t>待测</t>
        </is>
      </c>
      <c r="K288" s="2" t="n"/>
      <c r="L288" s="2" t="inlineStr">
        <is>
          <t>2026-08-18</t>
        </is>
      </c>
      <c r="M288" s="3" t="n"/>
      <c r="N288" s="2" t="n"/>
    </row>
    <row r="289">
      <c r="A289" s="2" t="n">
        <v>288</v>
      </c>
      <c r="B289" s="2" t="inlineStr">
        <is>
          <t>CM-15.2</t>
        </is>
      </c>
      <c r="C289" s="3" t="inlineStr">
        <is>
          <t>通信</t>
        </is>
      </c>
      <c r="D289" s="3" t="inlineStr">
        <is>
          <t>手/自动状态显示</t>
        </is>
      </c>
      <c r="E289" s="2" t="inlineStr">
        <is>
          <t>P1</t>
        </is>
      </c>
      <c r="F289" s="3" t="inlineStr">
        <is>
          <t>6.4.13</t>
        </is>
      </c>
      <c r="G289" s="3" t="inlineStr">
        <is>
          <t>（见父案步骤）</t>
        </is>
      </c>
      <c r="H289" s="3" t="inlineStr">
        <is>
          <t>电气控制装置的手/自动状态在本机正确显示（6.4.13）</t>
        </is>
      </c>
      <c r="I289" s="4" t="inlineStr">
        <is>
          <t>（未填写原因，需补）</t>
        </is>
      </c>
      <c r="J289" s="6" t="inlineStr">
        <is>
          <t>待测</t>
        </is>
      </c>
      <c r="K289" s="2" t="n"/>
      <c r="L289" s="2" t="inlineStr">
        <is>
          <t>2026-08-18</t>
        </is>
      </c>
      <c r="M289" s="3" t="n"/>
      <c r="N289" s="2" t="n"/>
    </row>
    <row r="290">
      <c r="A290" s="2" t="n">
        <v>289</v>
      </c>
      <c r="B290" s="2" t="inlineStr">
        <is>
          <t>CM-16</t>
        </is>
      </c>
      <c r="C290" s="3" t="inlineStr">
        <is>
          <t>通信</t>
        </is>
      </c>
      <c r="D290" s="3" t="inlineStr">
        <is>
          <t>通信线独立性</t>
        </is>
      </c>
      <c r="E290" s="2" t="inlineStr">
        <is>
          <t>P0（设计检查）</t>
        </is>
      </c>
      <c r="F290" s="3" t="inlineStr">
        <is>
          <t>5.3.1.6</t>
        </is>
      </c>
      <c r="G290" s="3" t="inlineStr">
        <is>
          <t>检查布线设计</t>
        </is>
      </c>
      <c r="H290" s="3" t="inlineStr">
        <is>
          <t>FECbus 独立通信线路，不与报警总线/联动总线共用</t>
        </is>
      </c>
      <c r="I290" s="3" t="n"/>
      <c r="J290" s="2" t="inlineStr">
        <is>
          <t>待测</t>
        </is>
      </c>
      <c r="K290" s="2" t="n"/>
      <c r="L290" s="2" t="n"/>
      <c r="M290" s="3" t="n"/>
      <c r="N290" s="2" t="n"/>
    </row>
    <row r="291">
      <c r="A291" s="2" t="n">
        <v>290</v>
      </c>
      <c r="B291" s="2" t="inlineStr">
        <is>
          <t>CM-17</t>
        </is>
      </c>
      <c r="C291" s="3" t="inlineStr">
        <is>
          <t>通信</t>
        </is>
      </c>
      <c r="D291" s="3" t="inlineStr">
        <is>
          <t>通信线冗余</t>
        </is>
      </c>
      <c r="E291" s="2" t="inlineStr">
        <is>
          <t>P1</t>
        </is>
      </c>
      <c r="F291" s="3" t="inlineStr">
        <is>
          <t>C.3.2.3</t>
        </is>
      </c>
      <c r="G291" s="3" t="inlineStr">
        <is>
          <t>通信线任一点断路/短路</t>
        </is>
      </c>
      <c r="H291" s="3" t="inlineStr">
        <is>
          <t>控制器与消防电气控制装置仍能正常通信</t>
        </is>
      </c>
      <c r="I291" s="4" t="inlineStr">
        <is>
          <t>（未填写原因，需补）</t>
        </is>
      </c>
      <c r="J291" s="6" t="inlineStr">
        <is>
          <t>待测</t>
        </is>
      </c>
      <c r="K291" s="2" t="n"/>
      <c r="L291" s="2" t="inlineStr">
        <is>
          <t>2026-08-18</t>
        </is>
      </c>
      <c r="M291" s="3" t="n"/>
      <c r="N291" s="2" t="n"/>
    </row>
    <row r="292">
      <c r="A292" s="2" t="n">
        <v>291</v>
      </c>
      <c r="B292" s="2" t="inlineStr">
        <is>
          <t>DR-01</t>
        </is>
      </c>
      <c r="C292" s="3" t="inlineStr">
        <is>
          <t>存储单元(黑匣子)</t>
        </is>
      </c>
      <c r="D292" s="3" t="n"/>
      <c r="E292" s="2" t="inlineStr">
        <is>
          <t>P2</t>
        </is>
      </c>
      <c r="F292" s="3" t="inlineStr">
        <is>
          <t>5.3.9</t>
        </is>
      </c>
      <c r="G292" s="3" t="inlineStr">
        <is>
          <t>结构与防护（总案）——检查结构；防护试验</t>
        </is>
      </c>
      <c r="H292" s="3" t="inlineStr">
        <is>
          <t>见子项</t>
        </is>
      </c>
      <c r="I292" s="3" t="n"/>
      <c r="J292" s="2" t="inlineStr">
        <is>
          <t>待测</t>
        </is>
      </c>
      <c r="K292" s="2" t="n"/>
      <c r="L292" s="2" t="n"/>
      <c r="M292" s="3" t="n"/>
      <c r="N292" s="2" t="n"/>
    </row>
    <row r="293">
      <c r="A293" s="2" t="n">
        <v>292</v>
      </c>
      <c r="B293" s="2" t="inlineStr">
        <is>
          <t>DR-01.1</t>
        </is>
      </c>
      <c r="C293" s="3" t="inlineStr">
        <is>
          <t>存储单元(黑匣子)</t>
        </is>
      </c>
      <c r="D293" s="3" t="inlineStr">
        <is>
          <t>结构检查</t>
        </is>
      </c>
      <c r="E293" s="2" t="inlineStr">
        <is>
          <t>P2</t>
        </is>
      </c>
      <c r="F293" s="3" t="inlineStr">
        <is>
          <t>5.3.9</t>
        </is>
      </c>
      <c r="G293" s="3" t="inlineStr">
        <is>
          <t>（见父案步骤）</t>
        </is>
      </c>
      <c r="H293" s="3" t="inlineStr">
        <is>
          <t>独立可拆卸、金属外壳</t>
        </is>
      </c>
      <c r="I293" s="3" t="n"/>
      <c r="J293" s="2" t="inlineStr">
        <is>
          <t>待测</t>
        </is>
      </c>
      <c r="K293" s="2" t="n"/>
      <c r="L293" s="2" t="n"/>
      <c r="M293" s="3" t="n"/>
      <c r="N293" s="2" t="n"/>
    </row>
    <row r="294">
      <c r="A294" s="2" t="n">
        <v>293</v>
      </c>
      <c r="B294" s="2" t="inlineStr">
        <is>
          <t>DR-01.2</t>
        </is>
      </c>
      <c r="C294" s="3" t="inlineStr">
        <is>
          <t>存储单元(黑匣子)</t>
        </is>
      </c>
      <c r="D294" s="3" t="inlineStr">
        <is>
          <t>防护等级</t>
        </is>
      </c>
      <c r="E294" s="2" t="inlineStr">
        <is>
          <t>P2</t>
        </is>
      </c>
      <c r="F294" s="3" t="inlineStr">
        <is>
          <t>5.3.9</t>
        </is>
      </c>
      <c r="G294" s="3" t="inlineStr">
        <is>
          <t>（见父案步骤）</t>
        </is>
      </c>
      <c r="H294" s="3" t="inlineStr">
        <is>
          <t>≥IP54</t>
        </is>
      </c>
      <c r="I294" s="3" t="n"/>
      <c r="J294" s="2" t="inlineStr">
        <is>
          <t>待测</t>
        </is>
      </c>
      <c r="K294" s="2" t="n"/>
      <c r="L294" s="2" t="inlineStr">
        <is>
          <t>2026-08-19</t>
        </is>
      </c>
      <c r="M294" s="3" t="inlineStr">
        <is>
          <t>待条件：IP54防护等级试验需第三方实验室</t>
        </is>
      </c>
      <c r="N294" s="2" t="n"/>
    </row>
    <row r="295">
      <c r="A295" s="2" t="n">
        <v>294</v>
      </c>
      <c r="B295" s="2" t="inlineStr">
        <is>
          <t>DR-02</t>
        </is>
      </c>
      <c r="C295" s="3" t="inlineStr">
        <is>
          <t>存储单元(黑匣子)</t>
        </is>
      </c>
      <c r="D295" s="3" t="n"/>
      <c r="E295" s="2" t="inlineStr">
        <is>
          <t>P1</t>
        </is>
      </c>
      <c r="F295" s="3" t="inlineStr">
        <is>
          <t>B.1.1 ↔ B.2.2～B.2.5</t>
        </is>
      </c>
      <c r="G295" s="3" t="inlineStr">
        <is>
          <t>全事件记录（总案）——依次执行：报警+复位→开关机/复位/检查/调时→屏蔽→各类故障</t>
        </is>
      </c>
      <c r="H295" s="3" t="inlineStr">
        <is>
          <t>见子项</t>
        </is>
      </c>
      <c r="I295" s="3" t="n"/>
      <c r="J295" s="2" t="inlineStr">
        <is>
          <t>待测</t>
        </is>
      </c>
      <c r="K295" s="2" t="n"/>
      <c r="L295" s="2" t="n"/>
      <c r="M295" s="3" t="n"/>
      <c r="N295" s="2" t="n"/>
    </row>
    <row r="296">
      <c r="A296" s="2" t="n">
        <v>295</v>
      </c>
      <c r="B296" s="2" t="inlineStr">
        <is>
          <t>DR-02.1</t>
        </is>
      </c>
      <c r="C296" s="3" t="inlineStr">
        <is>
          <t>存储单元(黑匣子)</t>
        </is>
      </c>
      <c r="D296" s="3" t="inlineStr">
        <is>
          <t>全事件+时间格式</t>
        </is>
      </c>
      <c r="E296" s="2" t="inlineStr">
        <is>
          <t>P1</t>
        </is>
      </c>
      <c r="F296" s="3" t="inlineStr">
        <is>
          <t>B.1.1</t>
        </is>
      </c>
      <c r="G296" s="3" t="inlineStr">
        <is>
          <t>（见父案步骤）</t>
        </is>
      </c>
      <c r="H296" s="3" t="inlineStr">
        <is>
          <t>全部事件被记录，每条含年月日时分秒</t>
        </is>
      </c>
      <c r="I296" s="3" t="n"/>
      <c r="J296" s="2" t="inlineStr">
        <is>
          <t>待测</t>
        </is>
      </c>
      <c r="K296" s="2" t="n"/>
      <c r="L296" s="2" t="n"/>
      <c r="M296" s="3" t="n"/>
      <c r="N296" s="2" t="n"/>
    </row>
    <row r="297">
      <c r="A297" s="2" t="n">
        <v>296</v>
      </c>
      <c r="B297" s="2" t="inlineStr">
        <is>
          <t>DR-02.2</t>
        </is>
      </c>
      <c r="C297" s="3" t="inlineStr">
        <is>
          <t>存储单元(黑匣子)</t>
        </is>
      </c>
      <c r="D297" s="3" t="inlineStr">
        <is>
          <t>时间序导出</t>
        </is>
      </c>
      <c r="E297" s="2" t="inlineStr">
        <is>
          <t>P1</t>
        </is>
      </c>
      <c r="F297" s="3" t="inlineStr">
        <is>
          <t>B.1.1</t>
        </is>
      </c>
      <c r="G297" s="3" t="inlineStr">
        <is>
          <t>（见父案步骤）</t>
        </is>
      </c>
      <c r="H297" s="3" t="inlineStr">
        <is>
          <t>按时间序可导出</t>
        </is>
      </c>
      <c r="I297" s="3" t="n"/>
      <c r="J297" s="2" t="inlineStr">
        <is>
          <t>待测</t>
        </is>
      </c>
      <c r="K297" s="2" t="n"/>
      <c r="L297" s="2" t="n"/>
      <c r="M297" s="3" t="n"/>
      <c r="N297" s="2" t="n"/>
    </row>
    <row r="298">
      <c r="A298" s="2" t="n">
        <v>297</v>
      </c>
      <c r="B298" s="2" t="inlineStr">
        <is>
          <t>DR-02.3</t>
        </is>
      </c>
      <c r="C298" s="3" t="inlineStr">
        <is>
          <t>存储单元(黑匣子)</t>
        </is>
      </c>
      <c r="D298" s="3" t="inlineStr">
        <is>
          <t>防篡改/防删除</t>
        </is>
      </c>
      <c r="E298" s="2" t="inlineStr">
        <is>
          <t>P1</t>
        </is>
      </c>
      <c r="F298" s="3" t="inlineStr">
        <is>
          <t>B.1.1</t>
        </is>
      </c>
      <c r="G298" s="3" t="inlineStr">
        <is>
          <t>（见父案步骤）</t>
        </is>
      </c>
      <c r="H298" s="3" t="inlineStr">
        <is>
          <t>防篡改/防删除</t>
        </is>
      </c>
      <c r="I298" s="3" t="n"/>
      <c r="J298" s="2" t="inlineStr">
        <is>
          <t>待测</t>
        </is>
      </c>
      <c r="K298" s="2" t="n"/>
      <c r="L298" s="2" t="n"/>
      <c r="M298" s="3" t="n"/>
      <c r="N298" s="2" t="n"/>
    </row>
    <row r="299">
      <c r="A299" s="2" t="n">
        <v>298</v>
      </c>
      <c r="B299" s="2" t="inlineStr">
        <is>
          <t>DR-03</t>
        </is>
      </c>
      <c r="C299" s="3" t="inlineStr">
        <is>
          <t>存储单元(黑匣子)</t>
        </is>
      </c>
      <c r="D299" s="3" t="n"/>
      <c r="E299" s="2" t="inlineStr">
        <is>
          <t>P1</t>
        </is>
      </c>
      <c r="F299" s="3" t="inlineStr">
        <is>
          <t>B.1.2</t>
        </is>
      </c>
      <c r="G299" s="3" t="inlineStr">
        <is>
          <t>容量与保存期（总案）——灌满容量后继续写入；断电 14 d</t>
        </is>
      </c>
      <c r="H299" s="3" t="inlineStr">
        <is>
          <t>见子项</t>
        </is>
      </c>
      <c r="I299" s="3" t="n"/>
      <c r="J299" s="2" t="inlineStr">
        <is>
          <t>待测</t>
        </is>
      </c>
      <c r="K299" s="2" t="n"/>
      <c r="L299" s="2" t="n"/>
      <c r="M299" s="3" t="n"/>
      <c r="N299" s="2" t="n"/>
    </row>
    <row r="300">
      <c r="A300" s="2" t="n">
        <v>299</v>
      </c>
      <c r="B300" s="2" t="inlineStr">
        <is>
          <t>DR-03.1</t>
        </is>
      </c>
      <c r="C300" s="3" t="inlineStr">
        <is>
          <t>存储单元(黑匣子)</t>
        </is>
      </c>
      <c r="D300" s="3" t="inlineStr">
        <is>
          <t>火警记录容量</t>
        </is>
      </c>
      <c r="E300" s="2" t="inlineStr">
        <is>
          <t>P1</t>
        </is>
      </c>
      <c r="F300" s="3" t="inlineStr">
        <is>
          <t>B.1.2</t>
        </is>
      </c>
      <c r="G300" s="3" t="inlineStr">
        <is>
          <t>（见父案步骤）</t>
        </is>
      </c>
      <c r="H300" s="3" t="inlineStr">
        <is>
          <t>火警记录 ≥触发器件数×100</t>
        </is>
      </c>
      <c r="I300" s="3" t="n"/>
      <c r="J300" s="2" t="inlineStr">
        <is>
          <t>待测</t>
        </is>
      </c>
      <c r="K300" s="2" t="n"/>
      <c r="L300" s="2" t="n"/>
      <c r="M300" s="3" t="n"/>
      <c r="N300" s="2" t="n"/>
    </row>
    <row r="301">
      <c r="A301" s="2" t="n">
        <v>300</v>
      </c>
      <c r="B301" s="2" t="inlineStr">
        <is>
          <t>DR-03.2</t>
        </is>
      </c>
      <c r="C301" s="3" t="inlineStr">
        <is>
          <t>存储单元(黑匣子)</t>
        </is>
      </c>
      <c r="D301" s="3" t="inlineStr">
        <is>
          <t>运行状态容量</t>
        </is>
      </c>
      <c r="E301" s="2" t="inlineStr">
        <is>
          <t>P1</t>
        </is>
      </c>
      <c r="F301" s="3" t="inlineStr">
        <is>
          <t>B.1.2</t>
        </is>
      </c>
      <c r="G301" s="3" t="inlineStr">
        <is>
          <t>（见父案步骤）</t>
        </is>
      </c>
      <c r="H301" s="3" t="inlineStr">
        <is>
          <t>运行状态 ≥(触发器件+联动设备)×200</t>
        </is>
      </c>
      <c r="I301" s="3" t="n"/>
      <c r="J301" s="2" t="inlineStr">
        <is>
          <t>待测</t>
        </is>
      </c>
      <c r="K301" s="2" t="n"/>
      <c r="L301" s="2" t="n"/>
      <c r="M301" s="3" t="n"/>
      <c r="N301" s="2" t="n"/>
    </row>
    <row r="302">
      <c r="A302" s="2" t="n">
        <v>301</v>
      </c>
      <c r="B302" s="2" t="inlineStr">
        <is>
          <t>DR-03.3</t>
        </is>
      </c>
      <c r="C302" s="3" t="inlineStr">
        <is>
          <t>存储单元(黑匣子)</t>
        </is>
      </c>
      <c r="D302" s="3" t="inlineStr">
        <is>
          <t>运行信息时长</t>
        </is>
      </c>
      <c r="E302" s="2" t="inlineStr">
        <is>
          <t>P1</t>
        </is>
      </c>
      <c r="F302" s="3" t="inlineStr">
        <is>
          <t>B.1.2</t>
        </is>
      </c>
      <c r="G302" s="3" t="inlineStr">
        <is>
          <t>（见父案步骤）</t>
        </is>
      </c>
      <c r="H302" s="3" t="inlineStr">
        <is>
          <t>≥30 d 运行信息</t>
        </is>
      </c>
      <c r="I302" s="3" t="n"/>
      <c r="J302" s="2" t="inlineStr">
        <is>
          <t>待测</t>
        </is>
      </c>
      <c r="K302" s="2" t="n"/>
      <c r="L302" s="2" t="n"/>
      <c r="M302" s="3" t="n"/>
      <c r="N302" s="2" t="n"/>
    </row>
    <row r="303">
      <c r="A303" s="2" t="n">
        <v>302</v>
      </c>
      <c r="B303" s="2" t="inlineStr">
        <is>
          <t>DR-03.4</t>
        </is>
      </c>
      <c r="C303" s="3" t="inlineStr">
        <is>
          <t>存储单元(黑匣子)</t>
        </is>
      </c>
      <c r="D303" s="3" t="inlineStr">
        <is>
          <t>超容量策略</t>
        </is>
      </c>
      <c r="E303" s="2" t="inlineStr">
        <is>
          <t>P1</t>
        </is>
      </c>
      <c r="F303" s="3" t="inlineStr">
        <is>
          <t>B.1.2</t>
        </is>
      </c>
      <c r="G303" s="3" t="inlineStr">
        <is>
          <t>（见父案步骤）</t>
        </is>
      </c>
      <c r="H303" s="3" t="inlineStr">
        <is>
          <t>超容量保持最新</t>
        </is>
      </c>
      <c r="I303" s="3" t="n"/>
      <c r="J303" s="2" t="inlineStr">
        <is>
          <t>待测</t>
        </is>
      </c>
      <c r="K303" s="2" t="n"/>
      <c r="L303" s="2" t="n"/>
      <c r="M303" s="3" t="n"/>
      <c r="N303" s="2" t="n"/>
    </row>
    <row r="304">
      <c r="A304" s="2" t="n">
        <v>303</v>
      </c>
      <c r="B304" s="2" t="inlineStr">
        <is>
          <t>DR-03.5</t>
        </is>
      </c>
      <c r="C304" s="3" t="inlineStr">
        <is>
          <t>存储单元(黑匣子)</t>
        </is>
      </c>
      <c r="D304" s="3" t="inlineStr">
        <is>
          <t>独立记录不覆盖</t>
        </is>
      </c>
      <c r="E304" s="2" t="inlineStr">
        <is>
          <t>P1</t>
        </is>
      </c>
      <c r="F304" s="3" t="inlineStr">
        <is>
          <t>B.1.2</t>
        </is>
      </c>
      <c r="G304" s="3" t="inlineStr">
        <is>
          <t>（见父案步骤）</t>
        </is>
      </c>
      <c r="H304" s="3" t="inlineStr">
        <is>
          <t>首火警/火警/故障独立记录不被覆盖</t>
        </is>
      </c>
      <c r="I304" s="3" t="n"/>
      <c r="J304" s="2" t="inlineStr">
        <is>
          <t>待测</t>
        </is>
      </c>
      <c r="K304" s="2" t="n"/>
      <c r="L304" s="2" t="n"/>
      <c r="M304" s="3" t="n"/>
      <c r="N304" s="2" t="n"/>
    </row>
    <row r="305">
      <c r="A305" s="2" t="n">
        <v>304</v>
      </c>
      <c r="B305" s="2" t="inlineStr">
        <is>
          <t>DR-03.6</t>
        </is>
      </c>
      <c r="C305" s="3" t="inlineStr">
        <is>
          <t>存储单元(黑匣子)</t>
        </is>
      </c>
      <c r="D305" s="3" t="inlineStr">
        <is>
          <t>断电保持</t>
        </is>
      </c>
      <c r="E305" s="2" t="inlineStr">
        <is>
          <t>P1</t>
        </is>
      </c>
      <c r="F305" s="3" t="inlineStr">
        <is>
          <t>B.1.2</t>
        </is>
      </c>
      <c r="G305" s="3" t="inlineStr">
        <is>
          <t>（见父案步骤）</t>
        </is>
      </c>
      <c r="H305" s="3" t="inlineStr">
        <is>
          <t>断电数据保持 ≥14 d</t>
        </is>
      </c>
      <c r="I305" s="3" t="n"/>
      <c r="J305" s="2" t="inlineStr">
        <is>
          <t>待测</t>
        </is>
      </c>
      <c r="K305" s="2" t="n"/>
      <c r="L305" s="2" t="n"/>
      <c r="M305" s="3" t="n"/>
      <c r="N305" s="2" t="n"/>
    </row>
    <row r="306">
      <c r="A306" s="2" t="n">
        <v>305</v>
      </c>
      <c r="B306" s="2" t="inlineStr">
        <is>
          <t>DR-04</t>
        </is>
      </c>
      <c r="C306" s="3" t="inlineStr">
        <is>
          <t>存储单元(黑匣子)</t>
        </is>
      </c>
      <c r="D306" s="3" t="n"/>
      <c r="E306" s="2" t="inlineStr">
        <is>
          <t>P1</t>
        </is>
      </c>
      <c r="F306" s="3" t="inlineStr">
        <is>
          <t>B.1.3 / 表 B.1～B.4</t>
        </is>
      </c>
      <c r="G306" s="3" t="inlineStr">
        <is>
          <t>导出协议（总案）——用专用工具经 USB 导出</t>
        </is>
      </c>
      <c r="H306" s="3" t="inlineStr">
        <is>
          <t>见子项</t>
        </is>
      </c>
      <c r="I306" s="3" t="n"/>
      <c r="J306" s="2" t="inlineStr">
        <is>
          <t>待测</t>
        </is>
      </c>
      <c r="K306" s="2" t="n"/>
      <c r="L306" s="2" t="n"/>
      <c r="M306" s="3" t="n"/>
      <c r="N306" s="2" t="n"/>
    </row>
    <row r="307">
      <c r="A307" s="2" t="n">
        <v>306</v>
      </c>
      <c r="B307" s="2" t="inlineStr">
        <is>
          <t>DR-04.1</t>
        </is>
      </c>
      <c r="C307" s="3" t="inlineStr">
        <is>
          <t>存储单元(黑匣子)</t>
        </is>
      </c>
      <c r="D307" s="3" t="inlineStr">
        <is>
          <t>物理接口</t>
        </is>
      </c>
      <c r="E307" s="2" t="inlineStr">
        <is>
          <t>P1</t>
        </is>
      </c>
      <c r="F307" s="3" t="inlineStr">
        <is>
          <t>B.1.3</t>
        </is>
      </c>
      <c r="G307" s="3" t="inlineStr">
        <is>
          <t>（见父案步骤）</t>
        </is>
      </c>
      <c r="H307" s="3" t="inlineStr">
        <is>
          <t>USB B 或 C 母口、USB 2.0 Device 模式</t>
        </is>
      </c>
      <c r="I307" s="3" t="n"/>
      <c r="J307" s="2" t="inlineStr">
        <is>
          <t>待测</t>
        </is>
      </c>
      <c r="K307" s="2" t="n"/>
      <c r="L307" s="2" t="n"/>
      <c r="M307" s="3" t="n"/>
      <c r="N307" s="2" t="n"/>
    </row>
    <row r="308">
      <c r="A308" s="2" t="n">
        <v>307</v>
      </c>
      <c r="B308" s="2" t="inlineStr">
        <is>
          <t>DR-04.2</t>
        </is>
      </c>
      <c r="C308" s="3" t="inlineStr">
        <is>
          <t>存储单元(黑匣子)</t>
        </is>
      </c>
      <c r="D308" s="3" t="inlineStr">
        <is>
          <t>协议帧参数</t>
        </is>
      </c>
      <c r="E308" s="2" t="inlineStr">
        <is>
          <t>P1</t>
        </is>
      </c>
      <c r="F308" s="3" t="inlineStr">
        <is>
          <t>B.1.3 / 表 B.1～B.4</t>
        </is>
      </c>
      <c r="G308" s="3" t="inlineStr">
        <is>
          <t>（见父案步骤）</t>
        </is>
      </c>
      <c r="H308" s="3" t="inlineStr">
        <is>
          <t>帧起止符 0x40、CRC16 0xA001、工具地址 0x7E、类型 0x7F、版本号 2</t>
        </is>
      </c>
      <c r="I308" s="3" t="n"/>
      <c r="J308" s="2" t="inlineStr">
        <is>
          <t>待测</t>
        </is>
      </c>
      <c r="K308" s="2" t="n"/>
      <c r="L308" s="2" t="n"/>
      <c r="M308" s="3" t="n"/>
      <c r="N308" s="2" t="n"/>
    </row>
    <row r="309">
      <c r="A309" s="2" t="n">
        <v>308</v>
      </c>
      <c r="B309" s="2" t="inlineStr">
        <is>
          <t>DR-04.3</t>
        </is>
      </c>
      <c r="C309" s="3" t="inlineStr">
        <is>
          <t>存储单元(黑匣子)</t>
        </is>
      </c>
      <c r="D309" s="3" t="inlineStr">
        <is>
          <t>格式一致</t>
        </is>
      </c>
      <c r="E309" s="2" t="inlineStr">
        <is>
          <t>P1</t>
        </is>
      </c>
      <c r="F309" s="3" t="inlineStr">
        <is>
          <t>B.1.3</t>
        </is>
      </c>
      <c r="G309" s="3" t="inlineStr">
        <is>
          <t>（见父案步骤）</t>
        </is>
      </c>
      <c r="H309" s="3" t="inlineStr">
        <is>
          <t>导出格式=存储格式</t>
        </is>
      </c>
      <c r="I309" s="3" t="n"/>
      <c r="J309" s="2" t="inlineStr">
        <is>
          <t>待测</t>
        </is>
      </c>
      <c r="K309" s="2" t="n"/>
      <c r="L309" s="2" t="n"/>
      <c r="M309" s="3" t="n"/>
      <c r="N309" s="2" t="n"/>
    </row>
    <row r="310">
      <c r="A310" s="2" t="n">
        <v>309</v>
      </c>
      <c r="B310" s="2" t="inlineStr">
        <is>
          <t>DR-04.4</t>
        </is>
      </c>
      <c r="C310" s="3" t="inlineStr">
        <is>
          <t>存储单元(黑匣子)</t>
        </is>
      </c>
      <c r="D310" s="3" t="inlineStr">
        <is>
          <t>授权</t>
        </is>
      </c>
      <c r="E310" s="2" t="inlineStr">
        <is>
          <t>P1</t>
        </is>
      </c>
      <c r="F310" s="3" t="inlineStr">
        <is>
          <t>B.1.3</t>
        </is>
      </c>
      <c r="G310" s="3" t="inlineStr">
        <is>
          <t>（见父案步骤）</t>
        </is>
      </c>
      <c r="H310" s="3" t="inlineStr">
        <is>
          <t>需授权</t>
        </is>
      </c>
      <c r="I310" s="3" t="n"/>
      <c r="J310" s="2" t="inlineStr">
        <is>
          <t>待测</t>
        </is>
      </c>
      <c r="K310" s="2" t="n"/>
      <c r="L310" s="2" t="n"/>
      <c r="M310" s="3" t="n"/>
      <c r="N310" s="2" t="n"/>
    </row>
    <row r="311">
      <c r="A311" s="2" t="n">
        <v>310</v>
      </c>
      <c r="B311" s="2" t="inlineStr">
        <is>
          <t>DR-05</t>
        </is>
      </c>
      <c r="C311" s="3" t="inlineStr">
        <is>
          <t>存储单元(黑匣子)</t>
        </is>
      </c>
      <c r="D311" s="3" t="inlineStr">
        <is>
          <t>反压耐受</t>
        </is>
      </c>
      <c r="E311" s="2" t="inlineStr">
        <is>
          <t>P2</t>
        </is>
      </c>
      <c r="F311" s="3" t="inlineStr">
        <is>
          <t>B.1.4.3 ↔ B.2.7</t>
        </is>
      </c>
      <c r="G311" s="3" t="inlineStr">
        <is>
          <t>施加 120% 标称电压反向 1 min 后复测</t>
        </is>
      </c>
      <c r="H311" s="3" t="inlineStr">
        <is>
          <t>记录、存储、导出功能正常</t>
        </is>
      </c>
      <c r="I311" s="3" t="n"/>
      <c r="J311" s="2" t="inlineStr">
        <is>
          <t>待测</t>
        </is>
      </c>
      <c r="K311" s="2" t="n"/>
      <c r="L311" s="2" t="n"/>
      <c r="M311" s="3" t="n"/>
      <c r="N311" s="2" t="n"/>
    </row>
    <row r="312">
      <c r="A312" s="2" t="n">
        <v>311</v>
      </c>
      <c r="B312" s="2" t="inlineStr">
        <is>
          <t>OP-01</t>
        </is>
      </c>
      <c r="C312" s="3" t="inlineStr">
        <is>
          <t>操作级别</t>
        </is>
      </c>
      <c r="D312" s="3" t="n"/>
      <c r="E312" s="2" t="inlineStr">
        <is>
          <t>P1</t>
        </is>
      </c>
      <c r="F312" s="3" t="inlineStr">
        <is>
          <t>5.4.13 表 1</t>
        </is>
      </c>
      <c r="G312" s="3" t="inlineStr">
        <is>
          <t>Ⅰ 级边界（总案）——不登录状态下逐项尝试全部操作</t>
        </is>
      </c>
      <c r="H312" s="3" t="inlineStr">
        <is>
          <t>见子项</t>
        </is>
      </c>
      <c r="I312" s="3" t="n"/>
      <c r="J312" s="2" t="inlineStr">
        <is>
          <t>待测</t>
        </is>
      </c>
      <c r="K312" s="2" t="n"/>
      <c r="L312" s="2" t="n"/>
      <c r="M312" s="3" t="n"/>
      <c r="N312" s="2" t="n"/>
    </row>
    <row r="313">
      <c r="A313" s="2" t="n">
        <v>312</v>
      </c>
      <c r="B313" s="2" t="inlineStr">
        <is>
          <t>OP-01.1</t>
        </is>
      </c>
      <c r="C313" s="3" t="inlineStr">
        <is>
          <t>操作级别</t>
        </is>
      </c>
      <c r="D313" s="3" t="inlineStr">
        <is>
          <t>Ⅰ 级可用项</t>
        </is>
      </c>
      <c r="E313" s="2" t="inlineStr">
        <is>
          <t>P1</t>
        </is>
      </c>
      <c r="F313" s="3" t="inlineStr">
        <is>
          <t>5.4.13 表 1</t>
        </is>
      </c>
      <c r="G313" s="3" t="inlineStr">
        <is>
          <t>（见父案步骤）</t>
        </is>
      </c>
      <c r="H313" s="3" t="inlineStr">
        <is>
          <t>仅查询/消音/检查/信息确认/联动启动可用（O 项按产品定义）</t>
        </is>
      </c>
      <c r="I313" s="3" t="n"/>
      <c r="J313" s="2" t="inlineStr">
        <is>
          <t>通过</t>
        </is>
      </c>
      <c r="K313" s="2" t="n"/>
      <c r="L313" s="2" t="n"/>
      <c r="M313" s="3" t="n"/>
      <c r="N313" s="2" t="n"/>
    </row>
    <row r="314">
      <c r="A314" s="2" t="n">
        <v>313</v>
      </c>
      <c r="B314" s="2" t="inlineStr">
        <is>
          <t>OP-01.2</t>
        </is>
      </c>
      <c r="C314" s="3" t="inlineStr">
        <is>
          <t>操作级别</t>
        </is>
      </c>
      <c r="D314" s="3" t="inlineStr">
        <is>
          <t>Ⅰ 级拒绝项</t>
        </is>
      </c>
      <c r="E314" s="2" t="inlineStr">
        <is>
          <t>P1</t>
        </is>
      </c>
      <c r="F314" s="3" t="inlineStr">
        <is>
          <t>5.4.13 表 1</t>
        </is>
      </c>
      <c r="G314" s="3" t="inlineStr">
        <is>
          <t>（见父案步骤）</t>
        </is>
      </c>
      <c r="H314" s="3" t="inlineStr">
        <is>
          <t>复位、手动启动、屏蔽、手自动转换等全部拒绝</t>
        </is>
      </c>
      <c r="I314" s="3" t="inlineStr">
        <is>
          <t>一级操作员可以操作手自动切换/</t>
        </is>
      </c>
      <c r="J314" s="2" t="inlineStr">
        <is>
          <t>不通过</t>
        </is>
      </c>
      <c r="K314" s="2" t="n"/>
      <c r="L314" s="2" t="inlineStr">
        <is>
          <t>2026-09-03</t>
        </is>
      </c>
      <c r="M314" s="3" t="n"/>
      <c r="N314" s="2" t="n"/>
    </row>
    <row r="315">
      <c r="A315" s="2" t="n">
        <v>314</v>
      </c>
      <c r="B315" s="2" t="inlineStr">
        <is>
          <t>OP-02</t>
        </is>
      </c>
      <c r="C315" s="3" t="inlineStr">
        <is>
          <t>操作级别</t>
        </is>
      </c>
      <c r="D315" s="3" t="n"/>
      <c r="E315" s="2" t="inlineStr">
        <is>
          <t>P1</t>
        </is>
      </c>
      <c r="F315" s="3" t="inlineStr">
        <is>
          <t>5.4.13 表 1</t>
        </is>
      </c>
      <c r="G315" s="3" t="inlineStr">
        <is>
          <t>Ⅱ 级边界（总案）——Ⅱ 级钥匙/密码登录逐项尝试</t>
        </is>
      </c>
      <c r="H315" s="3" t="inlineStr">
        <is>
          <t>见子项</t>
        </is>
      </c>
      <c r="I315" s="3" t="n"/>
      <c r="J315" s="2" t="inlineStr">
        <is>
          <t>待测</t>
        </is>
      </c>
      <c r="K315" s="2" t="n"/>
      <c r="L315" s="2" t="inlineStr">
        <is>
          <t>2026-09-03</t>
        </is>
      </c>
      <c r="M315" s="3" t="n"/>
      <c r="N315" s="2" t="n"/>
    </row>
    <row r="316">
      <c r="A316" s="2" t="n">
        <v>315</v>
      </c>
      <c r="B316" s="2" t="inlineStr">
        <is>
          <t>OP-02.1</t>
        </is>
      </c>
      <c r="C316" s="3" t="inlineStr">
        <is>
          <t>操作级别</t>
        </is>
      </c>
      <c r="D316" s="3" t="inlineStr">
        <is>
          <t>Ⅱ 级可用项</t>
        </is>
      </c>
      <c r="E316" s="2" t="inlineStr">
        <is>
          <t>P1</t>
        </is>
      </c>
      <c r="F316" s="3" t="inlineStr">
        <is>
          <t>5.4.13 表 1</t>
        </is>
      </c>
      <c r="G316" s="3" t="inlineStr">
        <is>
          <t>（见父案步骤）</t>
        </is>
      </c>
      <c r="H316" s="3" t="inlineStr">
        <is>
          <t>复位、手动直接启动输出、自检、调时、主备电操作、手自动转换可用</t>
        </is>
      </c>
      <c r="I316" s="3" t="n"/>
      <c r="J316" s="2" t="inlineStr">
        <is>
          <t>通过</t>
        </is>
      </c>
      <c r="K316" s="2" t="n"/>
      <c r="L316" s="2" t="inlineStr">
        <is>
          <t>2026-09-03</t>
        </is>
      </c>
      <c r="M316" s="3" t="n"/>
      <c r="N316" s="2" t="n"/>
    </row>
    <row r="317">
      <c r="A317" s="2" t="n">
        <v>316</v>
      </c>
      <c r="B317" s="2" t="inlineStr">
        <is>
          <t>OP-02.2</t>
        </is>
      </c>
      <c r="C317" s="3" t="inlineStr">
        <is>
          <t>操作级别</t>
        </is>
      </c>
      <c r="D317" s="3" t="inlineStr">
        <is>
          <t>Ⅱ 级拒绝项</t>
        </is>
      </c>
      <c r="E317" s="2" t="inlineStr">
        <is>
          <t>P1</t>
        </is>
      </c>
      <c r="F317" s="3" t="inlineStr">
        <is>
          <t>5.4.13 表 1</t>
        </is>
      </c>
      <c r="G317" s="3" t="inlineStr">
        <is>
          <t>（见父案步骤）</t>
        </is>
      </c>
      <c r="H317" s="3" t="inlineStr">
        <is>
          <t>输入/更改数据、分区编程、延时设置拒绝</t>
        </is>
      </c>
      <c r="I317" s="3" t="n"/>
      <c r="J317" s="2" t="inlineStr">
        <is>
          <t>待测</t>
        </is>
      </c>
      <c r="K317" s="2" t="n"/>
      <c r="L317" s="2" t="inlineStr">
        <is>
          <t>2026-09-03</t>
        </is>
      </c>
      <c r="M317" s="3" t="n"/>
      <c r="N317" s="2" t="n"/>
    </row>
    <row r="318">
      <c r="A318" s="2" t="n">
        <v>317</v>
      </c>
      <c r="B318" s="2" t="inlineStr">
        <is>
          <t>OP-03</t>
        </is>
      </c>
      <c r="C318" s="3" t="inlineStr">
        <is>
          <t>操作级别</t>
        </is>
      </c>
      <c r="D318" s="3" t="n"/>
      <c r="E318" s="2" t="inlineStr">
        <is>
          <t>P1</t>
        </is>
      </c>
      <c r="F318" s="3" t="inlineStr">
        <is>
          <t>5.4.13 表 1</t>
        </is>
      </c>
      <c r="G318" s="3" t="inlineStr">
        <is>
          <t>Ⅲ 级边界与密钥单向性（总案）——Ⅲ 级登录逐项尝试；用 Ⅱ 级密钥尝试进 Ⅲ 级</t>
        </is>
      </c>
      <c r="H318" s="3" t="inlineStr">
        <is>
          <t>见子项</t>
        </is>
      </c>
      <c r="I318" s="3" t="n"/>
      <c r="J318" s="2" t="inlineStr">
        <is>
          <t>待测</t>
        </is>
      </c>
      <c r="K318" s="2" t="n"/>
      <c r="L318" s="2" t="n"/>
      <c r="M318" s="3" t="n"/>
      <c r="N318" s="2" t="n"/>
    </row>
    <row r="319">
      <c r="A319" s="2" t="n">
        <v>318</v>
      </c>
      <c r="B319" s="2" t="inlineStr">
        <is>
          <t>OP-03.1</t>
        </is>
      </c>
      <c r="C319" s="3" t="inlineStr">
        <is>
          <t>操作级别</t>
        </is>
      </c>
      <c r="D319" s="3" t="inlineStr">
        <is>
          <t>Ⅲ 级可用项</t>
        </is>
      </c>
      <c r="E319" s="2" t="inlineStr">
        <is>
          <t>P1</t>
        </is>
      </c>
      <c r="F319" s="3" t="inlineStr">
        <is>
          <t>5.4.13 表 1</t>
        </is>
      </c>
      <c r="G319" s="3" t="inlineStr">
        <is>
          <t>（见父案步骤）</t>
        </is>
      </c>
      <c r="H319" s="3" t="inlineStr">
        <is>
          <t>编程/延时设置/数据修改可用</t>
        </is>
      </c>
      <c r="I319" s="3" t="n"/>
      <c r="J319" s="2" t="inlineStr">
        <is>
          <t>待测</t>
        </is>
      </c>
      <c r="K319" s="2" t="n"/>
      <c r="L319" s="2" t="n"/>
      <c r="M319" s="3" t="n"/>
      <c r="N319" s="2" t="n"/>
    </row>
    <row r="320">
      <c r="A320" s="2" t="n">
        <v>319</v>
      </c>
      <c r="B320" s="2" t="inlineStr">
        <is>
          <t>OP-03.2</t>
        </is>
      </c>
      <c r="C320" s="3" t="inlineStr">
        <is>
          <t>操作级别</t>
        </is>
      </c>
      <c r="D320" s="3" t="inlineStr">
        <is>
          <t>Ⅲ 级拒绝项</t>
        </is>
      </c>
      <c r="E320" s="2" t="inlineStr">
        <is>
          <t>P1</t>
        </is>
      </c>
      <c r="F320" s="3" t="inlineStr">
        <is>
          <t>5.4.13 表 1</t>
        </is>
      </c>
      <c r="G320" s="3" t="inlineStr">
        <is>
          <t>（见父案步骤）</t>
        </is>
      </c>
      <c r="H320" s="3" t="inlineStr">
        <is>
          <t>软硬件修改、数据导出回放、调试状态拒绝</t>
        </is>
      </c>
      <c r="I320" s="3" t="n"/>
      <c r="J320" s="2" t="inlineStr">
        <is>
          <t>待测</t>
        </is>
      </c>
      <c r="K320" s="2" t="n"/>
      <c r="L320" s="2" t="n"/>
      <c r="M320" s="3" t="n"/>
      <c r="N320" s="2" t="n"/>
    </row>
    <row r="321">
      <c r="A321" s="2" t="n">
        <v>320</v>
      </c>
      <c r="B321" s="2" t="inlineStr">
        <is>
          <t>OP-03.3</t>
        </is>
      </c>
      <c r="C321" s="3" t="inlineStr">
        <is>
          <t>操作级别</t>
        </is>
      </c>
      <c r="D321" s="3" t="inlineStr">
        <is>
          <t>密钥单向性</t>
        </is>
      </c>
      <c r="E321" s="2" t="inlineStr">
        <is>
          <t>P1</t>
        </is>
      </c>
      <c r="F321" s="3" t="inlineStr">
        <is>
          <t>5.4.13 表 1</t>
        </is>
      </c>
      <c r="G321" s="3" t="inlineStr">
        <is>
          <t>（见父案步骤）</t>
        </is>
      </c>
      <c r="H321" s="3" t="inlineStr">
        <is>
          <t>Ⅲ 级钥匙可进 Ⅱ 级，Ⅱ 级钥匙不能进 Ⅲ 级</t>
        </is>
      </c>
      <c r="I321" s="3" t="n"/>
      <c r="J321" s="2" t="inlineStr">
        <is>
          <t>待测</t>
        </is>
      </c>
      <c r="K321" s="2" t="n"/>
      <c r="L321" s="2" t="n"/>
      <c r="M321" s="3" t="n"/>
      <c r="N321" s="2" t="n"/>
    </row>
    <row r="322">
      <c r="A322" s="2" t="n">
        <v>321</v>
      </c>
      <c r="B322" s="2" t="inlineStr">
        <is>
          <t>OP-04</t>
        </is>
      </c>
      <c r="C322" s="3" t="inlineStr">
        <is>
          <t>操作级别</t>
        </is>
      </c>
      <c r="D322" s="3" t="inlineStr">
        <is>
          <t>Ⅳ 级隔离</t>
        </is>
      </c>
      <c r="E322" s="2" t="inlineStr">
        <is>
          <t>P1</t>
        </is>
      </c>
      <c r="F322" s="3" t="inlineStr">
        <is>
          <t>5.4.13 表 1</t>
        </is>
      </c>
      <c r="G322" s="3" t="inlineStr">
        <is>
          <t>尝试从控制器本机修改软硬件/导出数据/进调试</t>
        </is>
      </c>
      <c r="H322" s="3" t="inlineStr">
        <is>
          <t>Ⅳ 级操作不能通过控制器本身进行</t>
        </is>
      </c>
      <c r="I322" s="3" t="inlineStr">
        <is>
          <t>✅ 复核后改判（原判不通过系误判）：四级密码由算法生成、不由用户设置且不可修改；本机「四级密码设置」入口点击被拦无法进入 → Ⅳ级操作实际无法通过控制器本身完成，OP-04 要求满足。菜单可见但不可达，属显示层，不构成违标</t>
        </is>
      </c>
      <c r="J322" s="5" t="inlineStr">
        <is>
          <t>通过</t>
        </is>
      </c>
      <c r="K322" s="2" t="n"/>
      <c r="L322" s="2" t="inlineStr">
        <is>
          <t>2026-08-18</t>
        </is>
      </c>
      <c r="M322" s="3" t="inlineStr">
        <is>
          <t>2026-08-18 复核改判</t>
        </is>
      </c>
      <c r="N322" s="2" t="n"/>
    </row>
    <row r="323">
      <c r="A323" s="2" t="n">
        <v>322</v>
      </c>
      <c r="B323" s="2" t="inlineStr">
        <is>
          <t>OP-05</t>
        </is>
      </c>
      <c r="C323" s="3" t="inlineStr">
        <is>
          <t>操作级别</t>
        </is>
      </c>
      <c r="D323" s="3" t="n"/>
      <c r="E323" s="2" t="inlineStr">
        <is>
          <t>P1</t>
        </is>
      </c>
      <c r="F323" s="3" t="inlineStr">
        <is>
          <t>5.4.14</t>
        </is>
      </c>
      <c r="G323" s="3" t="inlineStr">
        <is>
          <t>调试功能（总案）——接入调试设备，触发火警与故障</t>
        </is>
      </c>
      <c r="H323" s="3" t="inlineStr">
        <is>
          <t>见子项</t>
        </is>
      </c>
      <c r="I323" s="3" t="n"/>
      <c r="J323" s="2" t="inlineStr">
        <is>
          <t>待测</t>
        </is>
      </c>
      <c r="K323" s="2" t="n"/>
      <c r="L323" s="2" t="n"/>
      <c r="M323" s="3" t="n"/>
      <c r="N323" s="2" t="n"/>
    </row>
    <row r="324">
      <c r="A324" s="2" t="n">
        <v>323</v>
      </c>
      <c r="B324" s="2" t="inlineStr">
        <is>
          <t>OP-05.1</t>
        </is>
      </c>
      <c r="C324" s="3" t="inlineStr">
        <is>
          <t>操作级别</t>
        </is>
      </c>
      <c r="D324" s="3" t="inlineStr">
        <is>
          <t>进入调试态</t>
        </is>
      </c>
      <c r="E324" s="2" t="inlineStr">
        <is>
          <t>P1</t>
        </is>
      </c>
      <c r="F324" s="3" t="inlineStr">
        <is>
          <t>5.4.14</t>
        </is>
      </c>
      <c r="G324" s="3" t="inlineStr">
        <is>
          <t>（见父案步骤）</t>
        </is>
      </c>
      <c r="H324" s="3" t="inlineStr">
        <is>
          <t>进入调试状态</t>
        </is>
      </c>
      <c r="I324" s="3" t="n"/>
      <c r="J324" s="2" t="inlineStr">
        <is>
          <t>待测</t>
        </is>
      </c>
      <c r="K324" s="2" t="n"/>
      <c r="L324" s="2" t="n"/>
      <c r="M324" s="3" t="n"/>
      <c r="N324" s="2" t="n"/>
    </row>
    <row r="325">
      <c r="A325" s="2" t="n">
        <v>324</v>
      </c>
      <c r="B325" s="2" t="inlineStr">
        <is>
          <t>OP-05.2</t>
        </is>
      </c>
      <c r="C325" s="3" t="inlineStr">
        <is>
          <t>操作级别</t>
        </is>
      </c>
      <c r="D325" s="3" t="inlineStr">
        <is>
          <t>调试态行为边界</t>
        </is>
      </c>
      <c r="E325" s="2" t="inlineStr">
        <is>
          <t>P1</t>
        </is>
      </c>
      <c r="F325" s="3" t="inlineStr">
        <is>
          <t>5.4.14</t>
        </is>
      </c>
      <c r="G325" s="3" t="inlineStr">
        <is>
          <t>（见父案步骤）</t>
        </is>
      </c>
      <c r="H325" s="3" t="inlineStr">
        <is>
          <t>可收火警/故障信息但不启动联动控制输出</t>
        </is>
      </c>
      <c r="I325" s="3" t="n"/>
      <c r="J325" s="2" t="inlineStr">
        <is>
          <t>待测</t>
        </is>
      </c>
      <c r="K325" s="2" t="n"/>
      <c r="L325" s="2" t="n"/>
      <c r="M325" s="3" t="n"/>
      <c r="N325" s="2" t="n"/>
    </row>
    <row r="326">
      <c r="A326" s="2" t="n">
        <v>325</v>
      </c>
      <c r="B326" s="2" t="inlineStr">
        <is>
          <t>OP-05.3</t>
        </is>
      </c>
      <c r="C326" s="3" t="inlineStr">
        <is>
          <t>操作级别</t>
        </is>
      </c>
      <c r="D326" s="3" t="inlineStr">
        <is>
          <t>调试态可区分</t>
        </is>
      </c>
      <c r="E326" s="2" t="inlineStr">
        <is>
          <t>P1</t>
        </is>
      </c>
      <c r="F326" s="3" t="inlineStr">
        <is>
          <t>5.4.14</t>
        </is>
      </c>
      <c r="G326" s="3" t="inlineStr">
        <is>
          <t>（见父案步骤）</t>
        </is>
      </c>
      <c r="H326" s="3" t="inlineStr">
        <is>
          <t>调试态与正常态可区分，传出信息有区别标识</t>
        </is>
      </c>
      <c r="I326" s="3" t="n"/>
      <c r="J326" s="2" t="inlineStr">
        <is>
          <t>待测</t>
        </is>
      </c>
      <c r="K326" s="2" t="n"/>
      <c r="L326" s="2" t="n"/>
      <c r="M326" s="3" t="n"/>
      <c r="N326" s="2" t="n"/>
    </row>
    <row r="327">
      <c r="A327" s="2" t="n">
        <v>326</v>
      </c>
      <c r="B327" s="2" t="inlineStr">
        <is>
          <t>UI-01</t>
        </is>
      </c>
      <c r="C327" s="3" t="inlineStr">
        <is>
          <t>人机菜单(产品级)</t>
        </is>
      </c>
      <c r="D327" s="3" t="n"/>
      <c r="E327" s="2" t="inlineStr">
        <is>
          <t>P1</t>
        </is>
      </c>
      <c r="F327" s="3" t="inlineStr">
        <is>
          <t>关联 DR-02/FA-11</t>
        </is>
      </c>
      <c r="G327" s="3" t="inlineStr">
        <is>
          <t>历史记录查询（总案）——进入查询→历史记录；翻页浏览；断电重启后再查</t>
        </is>
      </c>
      <c r="H327" s="3" t="inlineStr">
        <is>
          <t>见子项</t>
        </is>
      </c>
      <c r="I327" s="3" t="n"/>
      <c r="J327" s="2" t="inlineStr">
        <is>
          <t>通过</t>
        </is>
      </c>
      <c r="K327" s="2" t="n"/>
      <c r="L327" s="2" t="n"/>
      <c r="M327" s="3" t="n"/>
      <c r="N327" s="2" t="inlineStr">
        <is>
          <t>查询 / 历史记录</t>
        </is>
      </c>
    </row>
    <row r="328">
      <c r="A328" s="2" t="n">
        <v>327</v>
      </c>
      <c r="B328" s="2" t="inlineStr">
        <is>
          <t>UI-01.1</t>
        </is>
      </c>
      <c r="C328" s="3" t="inlineStr">
        <is>
          <t>人机菜单(产品级)</t>
        </is>
      </c>
      <c r="D328" s="3" t="inlineStr">
        <is>
          <t>时序与一致性</t>
        </is>
      </c>
      <c r="E328" s="2" t="inlineStr">
        <is>
          <t>P1</t>
        </is>
      </c>
      <c r="F328" s="3" t="inlineStr">
        <is>
          <t>关联 DR-02</t>
        </is>
      </c>
      <c r="G328" s="3" t="inlineStr">
        <is>
          <t>（见父案步骤）</t>
        </is>
      </c>
      <c r="H328" s="3" t="inlineStr">
        <is>
          <t>事件按时间序列出（火警/故障/操作各类），内容与黑匣子一致</t>
        </is>
      </c>
      <c r="I328" s="3" t="n"/>
      <c r="J328" s="2" t="inlineStr">
        <is>
          <t>通过</t>
        </is>
      </c>
      <c r="K328" s="2" t="n"/>
      <c r="L328" s="2" t="n"/>
      <c r="M328" s="3" t="n"/>
      <c r="N328" s="2" t="inlineStr">
        <is>
          <t>查询 / 历史记录</t>
        </is>
      </c>
    </row>
    <row r="329">
      <c r="A329" s="2" t="n">
        <v>328</v>
      </c>
      <c r="B329" s="2" t="inlineStr">
        <is>
          <t>UI-01.2</t>
        </is>
      </c>
      <c r="C329" s="3" t="inlineStr">
        <is>
          <t>人机菜单(产品级)</t>
        </is>
      </c>
      <c r="D329" s="3" t="inlineStr">
        <is>
          <t>断电持久</t>
        </is>
      </c>
      <c r="E329" s="2" t="inlineStr">
        <is>
          <t>P1</t>
        </is>
      </c>
      <c r="F329" s="3" t="inlineStr">
        <is>
          <t>关联 DR-02</t>
        </is>
      </c>
      <c r="G329" s="3" t="inlineStr">
        <is>
          <t>（见父案步骤）</t>
        </is>
      </c>
      <c r="H329" s="3" t="inlineStr">
        <is>
          <t>断电重启后记录仍在</t>
        </is>
      </c>
      <c r="I329" s="3" t="n"/>
      <c r="J329" s="2" t="inlineStr">
        <is>
          <t>通过</t>
        </is>
      </c>
      <c r="K329" s="2" t="n"/>
      <c r="L329" s="2" t="n"/>
      <c r="M329" s="3" t="n"/>
      <c r="N329" s="2" t="inlineStr">
        <is>
          <t>查询 / 历史记录</t>
        </is>
      </c>
    </row>
    <row r="330">
      <c r="A330" s="2" t="n">
        <v>329</v>
      </c>
      <c r="B330" s="2" t="inlineStr">
        <is>
          <t>UI-02</t>
        </is>
      </c>
      <c r="C330" s="3" t="inlineStr">
        <is>
          <t>人机菜单(产品级)</t>
        </is>
      </c>
      <c r="D330" s="3" t="inlineStr">
        <is>
          <t>控制器信息</t>
        </is>
      </c>
      <c r="E330" s="2" t="inlineStr">
        <is>
          <t>P1</t>
        </is>
      </c>
      <c r="F330" s="3" t="inlineStr">
        <is>
          <t>第 8 章标志</t>
        </is>
      </c>
      <c r="G330" s="3" t="inlineStr">
        <is>
          <t>查看型号/软件版本/容量/地址</t>
        </is>
      </c>
      <c r="H330" s="3" t="inlineStr">
        <is>
          <t>与铭牌、说明书声明一致（软件版本号须与标志一致）</t>
        </is>
      </c>
      <c r="I330" s="3" t="inlineStr">
        <is>
          <t>没有容量</t>
        </is>
      </c>
      <c r="J330" s="7" t="inlineStr">
        <is>
          <t>不通过</t>
        </is>
      </c>
      <c r="K330" s="2" t="n"/>
      <c r="L330" s="2" t="n"/>
      <c r="M330" s="3" t="n"/>
      <c r="N330" s="2" t="inlineStr">
        <is>
          <t>查询 / 控制器信息</t>
        </is>
      </c>
    </row>
    <row r="331">
      <c r="A331" s="2" t="n">
        <v>330</v>
      </c>
      <c r="B331" s="2" t="inlineStr">
        <is>
          <t>UI-03</t>
        </is>
      </c>
      <c r="C331" s="3" t="inlineStr">
        <is>
          <t>人机菜单(产品级)</t>
        </is>
      </c>
      <c r="D331" s="3" t="n"/>
      <c r="E331" s="2" t="inlineStr">
        <is>
          <t>P1</t>
        </is>
      </c>
      <c r="F331" s="3" t="inlineStr">
        <is>
          <t>—</t>
        </is>
      </c>
      <c r="G331" s="3" t="inlineStr">
        <is>
          <t>设备总览（总案）——列出点表全部设备</t>
        </is>
      </c>
      <c r="H331" s="3" t="inlineStr">
        <is>
          <t>见子项</t>
        </is>
      </c>
      <c r="I331" s="3" t="n"/>
      <c r="J331" s="2" t="inlineStr">
        <is>
          <t>通过</t>
        </is>
      </c>
      <c r="K331" s="2" t="n"/>
      <c r="L331" s="2" t="n"/>
      <c r="M331" s="3" t="n"/>
      <c r="N331" s="2" t="inlineStr">
        <is>
          <t>查询 / 设备总览</t>
        </is>
      </c>
    </row>
    <row r="332">
      <c r="A332" s="2" t="n">
        <v>331</v>
      </c>
      <c r="B332" s="2" t="inlineStr">
        <is>
          <t>UI-03.1</t>
        </is>
      </c>
      <c r="C332" s="3" t="inlineStr">
        <is>
          <t>人机菜单(产品级)</t>
        </is>
      </c>
      <c r="D332" s="3" t="inlineStr">
        <is>
          <t>设备数一致</t>
        </is>
      </c>
      <c r="E332" s="2" t="inlineStr">
        <is>
          <t>P1</t>
        </is>
      </c>
      <c r="F332" s="3" t="inlineStr">
        <is>
          <t>—</t>
        </is>
      </c>
      <c r="G332" s="3" t="inlineStr">
        <is>
          <t>（见父案步骤）</t>
        </is>
      </c>
      <c r="H332" s="3" t="inlineStr">
        <is>
          <t>设备数与点表一致</t>
        </is>
      </c>
      <c r="I332" s="4" t="inlineStr">
        <is>
          <t>（未填写原因，需补）</t>
        </is>
      </c>
      <c r="J332" s="5" t="inlineStr">
        <is>
          <t>通过</t>
        </is>
      </c>
      <c r="K332" s="2" t="n"/>
      <c r="L332" s="2" t="n"/>
      <c r="M332" s="3" t="n"/>
      <c r="N332" s="2" t="inlineStr">
        <is>
          <t>查询 / 设备总览</t>
        </is>
      </c>
    </row>
    <row r="333">
      <c r="A333" s="2" t="n">
        <v>332</v>
      </c>
      <c r="B333" s="2" t="inlineStr">
        <is>
          <t>UI-03.2</t>
        </is>
      </c>
      <c r="C333" s="3" t="inlineStr">
        <is>
          <t>人机菜单(产品级)</t>
        </is>
      </c>
      <c r="D333" s="3" t="inlineStr">
        <is>
          <t>状态实时准确</t>
        </is>
      </c>
      <c r="E333" s="2" t="inlineStr">
        <is>
          <t>P1</t>
        </is>
      </c>
      <c r="F333" s="3" t="inlineStr">
        <is>
          <t>—</t>
        </is>
      </c>
      <c r="G333" s="3" t="inlineStr">
        <is>
          <t>（见父案步骤）</t>
        </is>
      </c>
      <c r="H333" s="3" t="inlineStr">
        <is>
          <t>在线/报警/故障/屏蔽状态实时准确</t>
        </is>
      </c>
      <c r="I333" s="4" t="inlineStr">
        <is>
          <t>（未填写原因，需补）</t>
        </is>
      </c>
      <c r="J333" s="5" t="inlineStr">
        <is>
          <t>通过</t>
        </is>
      </c>
      <c r="K333" s="2" t="n"/>
      <c r="L333" s="2" t="n"/>
      <c r="M333" s="3" t="n"/>
      <c r="N333" s="2" t="inlineStr">
        <is>
          <t>查询 / 设备总览</t>
        </is>
      </c>
    </row>
    <row r="334">
      <c r="A334" s="2" t="n">
        <v>333</v>
      </c>
      <c r="B334" s="2" t="inlineStr">
        <is>
          <t>UI-03.3</t>
        </is>
      </c>
      <c r="C334" s="3" t="inlineStr">
        <is>
          <t>人机菜单(产品级)</t>
        </is>
      </c>
      <c r="D334" s="3" t="inlineStr">
        <is>
          <t>设备总览·列表正确</t>
        </is>
      </c>
      <c r="E334" s="2" t="inlineStr">
        <is>
          <t>P1</t>
        </is>
      </c>
      <c r="F334" s="3" t="inlineStr">
        <is>
          <t>现场补充</t>
        </is>
      </c>
      <c r="G334" s="3" t="inlineStr">
        <is>
          <t>设备总览</t>
        </is>
      </c>
      <c r="H334" s="3" t="inlineStr">
        <is>
          <t>看设备列表</t>
        </is>
      </c>
      <c r="I334" s="3" t="inlineStr">
        <is>
          <t>可以看到正确的设备列表</t>
        </is>
      </c>
      <c r="J334" s="5" t="inlineStr">
        <is>
          <t>通过</t>
        </is>
      </c>
      <c r="K334" s="2" t="n"/>
      <c r="L334" s="2" t="inlineStr">
        <is>
          <t>2026-08-18</t>
        </is>
      </c>
      <c r="M334" s="3" t="inlineStr">
        <is>
          <t>现场实测补充用例</t>
        </is>
      </c>
      <c r="N334" s="2" t="inlineStr">
        <is>
          <t>查询 / 设备总览</t>
        </is>
      </c>
    </row>
    <row r="335">
      <c r="A335" s="2" t="n">
        <v>334</v>
      </c>
      <c r="B335" s="2" t="inlineStr">
        <is>
          <t>UI-04</t>
        </is>
      </c>
      <c r="C335" s="3" t="inlineStr">
        <is>
          <t>人机菜单(产品级)</t>
        </is>
      </c>
      <c r="D335" s="3" t="n"/>
      <c r="E335" s="2" t="inlineStr">
        <is>
          <t>P1</t>
        </is>
      </c>
      <c r="F335" s="3" t="inlineStr">
        <is>
          <t>关联 FA-12</t>
        </is>
      </c>
      <c r="G335" s="3" t="inlineStr">
        <is>
          <t>单点查询（总案）——选任一部位查看详情</t>
        </is>
      </c>
      <c r="H335" s="3" t="inlineStr">
        <is>
          <t>见子项</t>
        </is>
      </c>
      <c r="I335" s="3" t="n"/>
      <c r="J335" s="2" t="inlineStr">
        <is>
          <t>通过</t>
        </is>
      </c>
      <c r="K335" s="2" t="n"/>
      <c r="L335" s="2" t="n"/>
      <c r="M335" s="3" t="n"/>
      <c r="N335" s="2" t="inlineStr">
        <is>
          <t>查询 / 单点查询</t>
        </is>
      </c>
    </row>
    <row r="336">
      <c r="A336" s="2" t="n">
        <v>335</v>
      </c>
      <c r="B336" s="2" t="inlineStr">
        <is>
          <t>UI-04.1</t>
        </is>
      </c>
      <c r="C336" s="3" t="inlineStr">
        <is>
          <t>人机菜单(产品级)</t>
        </is>
      </c>
      <c r="D336" s="3" t="inlineStr">
        <is>
          <t>详情准确</t>
        </is>
      </c>
      <c r="E336" s="2" t="inlineStr">
        <is>
          <t>P1</t>
        </is>
      </c>
      <c r="F336" s="3" t="inlineStr">
        <is>
          <t>关联 FA-12</t>
        </is>
      </c>
      <c r="G336" s="3" t="inlineStr">
        <is>
          <t>（见父案步骤）</t>
        </is>
      </c>
      <c r="H336" s="3" t="inlineStr">
        <is>
          <t>类型/状态/注释准确</t>
        </is>
      </c>
      <c r="I336" s="3" t="n"/>
      <c r="J336" s="2" t="inlineStr">
        <is>
          <t>通过</t>
        </is>
      </c>
      <c r="K336" s="2" t="n"/>
      <c r="L336" s="2" t="n"/>
      <c r="M336" s="3" t="n"/>
      <c r="N336" s="2" t="inlineStr">
        <is>
          <t>查询 / 单点查询</t>
        </is>
      </c>
    </row>
    <row r="337">
      <c r="A337" s="2" t="n">
        <v>336</v>
      </c>
      <c r="B337" s="2" t="inlineStr">
        <is>
          <t>UI-04.2</t>
        </is>
      </c>
      <c r="C337" s="3" t="inlineStr">
        <is>
          <t>人机菜单(产品级)</t>
        </is>
      </c>
      <c r="D337" s="3" t="inlineStr">
        <is>
          <t>阈值设定值显示</t>
        </is>
      </c>
      <c r="E337" s="2" t="inlineStr">
        <is>
          <t>P1</t>
        </is>
      </c>
      <c r="F337" s="3" t="inlineStr">
        <is>
          <t>关联 FA-12</t>
        </is>
      </c>
      <c r="G337" s="3" t="inlineStr">
        <is>
          <t>（见父案步骤）</t>
        </is>
      </c>
      <c r="H337" s="3" t="inlineStr">
        <is>
          <t>若支持阈值调节则显示当前设定值（设置界面外可查）</t>
        </is>
      </c>
      <c r="I337" s="3" t="n"/>
      <c r="J337" s="2" t="inlineStr">
        <is>
          <t>通过</t>
        </is>
      </c>
      <c r="K337" s="2" t="n"/>
      <c r="L337" s="2" t="n"/>
      <c r="M337" s="3" t="n"/>
      <c r="N337" s="2" t="inlineStr">
        <is>
          <t>查询 / 单点查询</t>
        </is>
      </c>
    </row>
    <row r="338">
      <c r="A338" s="2" t="n">
        <v>337</v>
      </c>
      <c r="B338" s="2" t="inlineStr">
        <is>
          <t>UI-04.3</t>
        </is>
      </c>
      <c r="C338" s="3" t="inlineStr">
        <is>
          <t>人机菜单(产品级)</t>
        </is>
      </c>
      <c r="D338" s="3" t="inlineStr">
        <is>
          <t>单点查询·返回按钮</t>
        </is>
      </c>
      <c r="E338" s="2" t="inlineStr">
        <is>
          <t>P1</t>
        </is>
      </c>
      <c r="F338" s="3" t="inlineStr">
        <is>
          <t>现场补充</t>
        </is>
      </c>
      <c r="G338" s="3" t="inlineStr">
        <is>
          <t>单点查询</t>
        </is>
      </c>
      <c r="H338" s="3" t="inlineStr">
        <is>
          <t>单点查询页面，右上角应该显示返回按钮，点击右上角返回按钮，正常应该能返回到上一页</t>
        </is>
      </c>
      <c r="I338" s="3" t="inlineStr">
        <is>
          <t>显示的菜单按钮，点击到了菜单页</t>
        </is>
      </c>
      <c r="J338" s="7" t="inlineStr">
        <is>
          <t>不通过</t>
        </is>
      </c>
      <c r="K338" s="2" t="n"/>
      <c r="L338" s="2" t="inlineStr">
        <is>
          <t>2026-08-18</t>
        </is>
      </c>
      <c r="M338" s="3" t="inlineStr">
        <is>
          <t>现场实测补充用例</t>
        </is>
      </c>
      <c r="N338" s="2" t="inlineStr">
        <is>
          <t>查询 / 单点查询</t>
        </is>
      </c>
    </row>
    <row r="339">
      <c r="A339" s="2" t="n">
        <v>338</v>
      </c>
      <c r="B339" s="2" t="inlineStr">
        <is>
          <t>UI-05</t>
        </is>
      </c>
      <c r="C339" s="3" t="inlineStr">
        <is>
          <t>人机菜单(产品级)</t>
        </is>
      </c>
      <c r="D339" s="3" t="inlineStr">
        <is>
          <t>级联从机</t>
        </is>
      </c>
      <c r="E339" s="2" t="inlineStr">
        <is>
          <t>△形态</t>
        </is>
      </c>
      <c r="F339" s="3" t="inlineStr">
        <is>
          <t>5.4.8</t>
        </is>
      </c>
      <c r="G339" s="3" t="inlineStr">
        <is>
          <t>组网信息显示</t>
        </is>
      </c>
      <c r="H339" s="3" t="inlineStr">
        <is>
          <t>（组网功能落地后随 6.10 用例组补充判定）</t>
        </is>
      </c>
      <c r="I339" s="3" t="n"/>
      <c r="J339" s="2" t="inlineStr">
        <is>
          <t>待测</t>
        </is>
      </c>
      <c r="K339" s="2" t="n"/>
      <c r="L339" s="2" t="n"/>
      <c r="M339" s="3" t="n"/>
      <c r="N339" s="2" t="inlineStr">
        <is>
          <t>查询 / 级联从机</t>
        </is>
      </c>
    </row>
    <row r="340">
      <c r="A340" s="2" t="n">
        <v>339</v>
      </c>
      <c r="B340" s="2" t="inlineStr">
        <is>
          <t>UI-05.1</t>
        </is>
      </c>
      <c r="C340" s="3" t="inlineStr">
        <is>
          <t>人机菜单(产品级)</t>
        </is>
      </c>
      <c r="D340" s="3" t="inlineStr">
        <is>
          <t>级联从机·无从机显示</t>
        </is>
      </c>
      <c r="E340" s="2" t="inlineStr">
        <is>
          <t>P1</t>
        </is>
      </c>
      <c r="F340" s="3" t="inlineStr">
        <is>
          <t>现场补充</t>
        </is>
      </c>
      <c r="G340" s="3" t="inlineStr">
        <is>
          <t>级联从机</t>
        </is>
      </c>
      <c r="H340" s="3" t="inlineStr">
        <is>
          <t>无从机的情况下，所有可连机器下方都是空的</t>
        </is>
      </c>
      <c r="I340" s="3" t="inlineStr">
        <is>
          <t>无从机的情况下，有显示对勾的</t>
        </is>
      </c>
      <c r="J340" s="7" t="inlineStr">
        <is>
          <t>不通过</t>
        </is>
      </c>
      <c r="K340" s="2" t="n"/>
      <c r="L340" s="2" t="inlineStr">
        <is>
          <t>2026-08-18</t>
        </is>
      </c>
      <c r="M340" s="3" t="inlineStr">
        <is>
          <t>现场实测补充用例</t>
        </is>
      </c>
      <c r="N340" s="2" t="inlineStr">
        <is>
          <t>查询 / 级联从机</t>
        </is>
      </c>
    </row>
    <row r="341">
      <c r="A341" s="2" t="n">
        <v>340</v>
      </c>
      <c r="B341" s="2" t="inlineStr">
        <is>
          <t>UI-07</t>
        </is>
      </c>
      <c r="C341" s="3" t="inlineStr">
        <is>
          <t>人机菜单(产品级)</t>
        </is>
      </c>
      <c r="D341" s="3" t="n"/>
      <c r="E341" s="2" t="inlineStr">
        <is>
          <t>P1</t>
        </is>
      </c>
      <c r="F341" s="3" t="inlineStr">
        <is>
          <t>—</t>
        </is>
      </c>
      <c r="G341" s="3" t="inlineStr">
        <is>
          <t>节点设备监控（总案）——实时监视页面开着，使某设备状态变化（报警/故障/恢复）</t>
        </is>
      </c>
      <c r="H341" s="3" t="inlineStr">
        <is>
          <t>见子项</t>
        </is>
      </c>
      <c r="I341" s="3" t="inlineStr">
        <is>
          <t>节点监控，查询无响应</t>
        </is>
      </c>
      <c r="J341" s="2" t="inlineStr">
        <is>
          <t>不通过</t>
        </is>
      </c>
      <c r="K341" s="2" t="n"/>
      <c r="L341" s="2" t="inlineStr">
        <is>
          <t>2026-09-03</t>
        </is>
      </c>
      <c r="M341" s="3" t="n"/>
      <c r="N341" s="2" t="inlineStr">
        <is>
          <t>监控&amp;控制 / 节点设备监控</t>
        </is>
      </c>
    </row>
    <row r="342">
      <c r="A342" s="2" t="n">
        <v>341</v>
      </c>
      <c r="B342" s="2" t="inlineStr">
        <is>
          <t>UI-07.1</t>
        </is>
      </c>
      <c r="C342" s="3" t="inlineStr">
        <is>
          <t>人机菜单(产品级)</t>
        </is>
      </c>
      <c r="D342" s="3" t="inlineStr">
        <is>
          <t>刷新及时</t>
        </is>
      </c>
      <c r="E342" s="2" t="inlineStr">
        <is>
          <t>P1</t>
        </is>
      </c>
      <c r="F342" s="3" t="inlineStr">
        <is>
          <t>—</t>
        </is>
      </c>
      <c r="G342" s="3" t="inlineStr">
        <is>
          <t>（见父案步骤）</t>
        </is>
      </c>
      <c r="H342" s="3" t="inlineStr">
        <is>
          <t>页面刷新及时反映</t>
        </is>
      </c>
      <c r="I342" s="3" t="n"/>
      <c r="J342" s="2" t="inlineStr">
        <is>
          <t>通过</t>
        </is>
      </c>
      <c r="K342" s="2" t="n"/>
      <c r="L342" s="2" t="n"/>
      <c r="M342" s="3" t="n"/>
      <c r="N342" s="2" t="inlineStr">
        <is>
          <t>监控&amp;控制 / 节点设备监控</t>
        </is>
      </c>
    </row>
    <row r="343">
      <c r="A343" s="2" t="n">
        <v>342</v>
      </c>
      <c r="B343" s="2" t="inlineStr">
        <is>
          <t>UI-07.2</t>
        </is>
      </c>
      <c r="C343" s="3" t="inlineStr">
        <is>
          <t>人机菜单(产品级)</t>
        </is>
      </c>
      <c r="D343" s="3" t="inlineStr">
        <is>
          <t>页面不阻断报警</t>
        </is>
      </c>
      <c r="E343" s="2" t="inlineStr">
        <is>
          <t>P1</t>
        </is>
      </c>
      <c r="F343" s="3" t="inlineStr">
        <is>
          <t>FA-13 语义</t>
        </is>
      </c>
      <c r="G343" s="3" t="inlineStr">
        <is>
          <t>（见父案步骤）</t>
        </is>
      </c>
      <c r="H343" s="3" t="inlineStr">
        <is>
          <t>监视页面开着不影响报警声光与联动（任何界面停留都不阻断报警）</t>
        </is>
      </c>
      <c r="I343" s="3" t="n"/>
      <c r="J343" s="2" t="inlineStr">
        <is>
          <t>通过</t>
        </is>
      </c>
      <c r="K343" s="2" t="n"/>
      <c r="L343" s="2" t="n"/>
      <c r="M343" s="3" t="n"/>
      <c r="N343" s="2" t="inlineStr">
        <is>
          <t>监控&amp;控制 / 节点设备监控</t>
        </is>
      </c>
    </row>
    <row r="344">
      <c r="A344" s="2" t="n">
        <v>343</v>
      </c>
      <c r="B344" s="2" t="inlineStr">
        <is>
          <t>UI-07.3</t>
        </is>
      </c>
      <c r="C344" s="3" t="inlineStr">
        <is>
          <t>人机菜单(产品级)</t>
        </is>
      </c>
      <c r="D344" s="3" t="inlineStr">
        <is>
          <t>节点监控·正确地址可查</t>
        </is>
      </c>
      <c r="E344" s="2" t="inlineStr">
        <is>
          <t>P0</t>
        </is>
      </c>
      <c r="F344" s="3" t="inlineStr">
        <is>
          <t>现场补充</t>
        </is>
      </c>
      <c r="G344" s="3" t="inlineStr">
        <is>
          <t>节点设备监控页，输入已注册设备地址（2回路1地址）→确定</t>
        </is>
      </c>
      <c r="H344" s="3" t="inlineStr">
        <is>
          <t>应返回该设备的设备参数与实时参数</t>
        </is>
      </c>
      <c r="I344" s="3" t="inlineStr">
        <is>
          <t>输入正确地址无有效数据；设备参数、实时参数均空白。⚠️2026-08-18 复核提示：通讯成功率页显示回路2仅026-029有通信，地址001为"---"，故2/1可能本就无实际通信 → 需用 2回路/26地址 复测：能查到则本条应改判通过（真问题是"在线注册"状态显示误导）；仍查不到则本条成立</t>
        </is>
      </c>
      <c r="J344" s="8" t="inlineStr">
        <is>
          <t>通过</t>
        </is>
      </c>
      <c r="K344" s="2" t="n"/>
      <c r="L344" s="2" t="inlineStr">
        <is>
          <t>2026-08-18</t>
        </is>
      </c>
      <c r="M344" s="3" t="inlineStr">
        <is>
          <t>现场实测补充用例；⚠️结论待复测确认</t>
        </is>
      </c>
      <c r="N344" s="2" t="inlineStr">
        <is>
          <t>监控&amp;控制 / 节点设备监控</t>
        </is>
      </c>
    </row>
    <row r="345">
      <c r="A345" s="2" t="n">
        <v>344</v>
      </c>
      <c r="B345" s="2" t="inlineStr">
        <is>
          <t>UI-07.4</t>
        </is>
      </c>
      <c r="C345" s="3" t="inlineStr">
        <is>
          <t>人机菜单(产品级)</t>
        </is>
      </c>
      <c r="D345" s="3" t="inlineStr">
        <is>
          <t>节点监控·返回按钮</t>
        </is>
      </c>
      <c r="E345" s="2" t="inlineStr">
        <is>
          <t>P1</t>
        </is>
      </c>
      <c r="F345" s="3" t="inlineStr">
        <is>
          <t>现场补充</t>
        </is>
      </c>
      <c r="G345" s="3" t="inlineStr">
        <is>
          <t>在节点设备监控页点击右上角按钮</t>
        </is>
      </c>
      <c r="H345" s="3" t="inlineStr">
        <is>
          <t>右上角应为返回按钮，点击返回上一页</t>
        </is>
      </c>
      <c r="I345" s="3" t="inlineStr">
        <is>
          <t>显示的是菜单按钮，点击跳到菜单页（与 UI-26/27、UI-03.4/.6、UI-04.3、UI-05.2、UI-18.3、UI-01.4 同源）</t>
        </is>
      </c>
      <c r="J345" s="7" t="inlineStr">
        <is>
          <t>不通过</t>
        </is>
      </c>
      <c r="K345" s="2" t="n"/>
      <c r="L345" s="2" t="inlineStr">
        <is>
          <t>2026-08-18</t>
        </is>
      </c>
      <c r="M345" s="3" t="inlineStr">
        <is>
          <t>现场实测补充用例；全局导航缺陷</t>
        </is>
      </c>
      <c r="N345" s="2" t="inlineStr">
        <is>
          <t>监控&amp;控制 / 节点设备监控</t>
        </is>
      </c>
    </row>
    <row r="346">
      <c r="A346" s="2" t="n">
        <v>345</v>
      </c>
      <c r="B346" s="2" t="inlineStr">
        <is>
          <t>UI-08</t>
        </is>
      </c>
      <c r="C346" s="3" t="inlineStr">
        <is>
          <t>人机菜单(产品级)</t>
        </is>
      </c>
      <c r="D346" s="3" t="n"/>
      <c r="E346" s="2" t="inlineStr">
        <is>
          <t>P1</t>
        </is>
      </c>
      <c r="F346" s="3" t="inlineStr">
        <is>
          <t>企标特色·关联 FT-11</t>
        </is>
      </c>
      <c r="G346" s="3" t="inlineStr">
        <is>
          <t>通讯成功率（总案）——查看总线通信统计；用线间并电阻制造误码</t>
        </is>
      </c>
      <c r="H346" s="3" t="inlineStr">
        <is>
          <t>见子项</t>
        </is>
      </c>
      <c r="I346" s="3" t="n"/>
      <c r="J346" s="2" t="inlineStr">
        <is>
          <t>通过</t>
        </is>
      </c>
      <c r="K346" s="2" t="n"/>
      <c r="L346" s="2" t="n"/>
      <c r="M346" s="3" t="n"/>
      <c r="N346" s="2" t="inlineStr">
        <is>
          <t>监控&amp;控制 / 通讯成功率</t>
        </is>
      </c>
    </row>
    <row r="347">
      <c r="A347" s="2" t="n">
        <v>346</v>
      </c>
      <c r="B347" s="2" t="inlineStr">
        <is>
          <t>UI-08.1</t>
        </is>
      </c>
      <c r="C347" s="3" t="inlineStr">
        <is>
          <t>人机菜单(产品级)</t>
        </is>
      </c>
      <c r="D347" s="3" t="inlineStr">
        <is>
          <t>正常态稳定</t>
        </is>
      </c>
      <c r="E347" s="2" t="inlineStr">
        <is>
          <t>P1</t>
        </is>
      </c>
      <c r="F347" s="3" t="inlineStr">
        <is>
          <t>关联 FT-11</t>
        </is>
      </c>
      <c r="G347" s="3" t="inlineStr">
        <is>
          <t>（见父案步骤）</t>
        </is>
      </c>
      <c r="H347" s="3" t="inlineStr">
        <is>
          <t>正常时成功率稳定</t>
        </is>
      </c>
      <c r="I347" s="3" t="n"/>
      <c r="J347" s="2" t="inlineStr">
        <is>
          <t>通过</t>
        </is>
      </c>
      <c r="K347" s="2" t="n"/>
      <c r="L347" s="2" t="n"/>
      <c r="M347" s="3" t="n"/>
      <c r="N347" s="2" t="inlineStr">
        <is>
          <t>监控&amp;控制 / 通讯成功率</t>
        </is>
      </c>
    </row>
    <row r="348">
      <c r="A348" s="2" t="n">
        <v>347</v>
      </c>
      <c r="B348" s="2" t="inlineStr">
        <is>
          <t>UI-08.2</t>
        </is>
      </c>
      <c r="C348" s="3" t="inlineStr">
        <is>
          <t>人机菜单(产品级)</t>
        </is>
      </c>
      <c r="D348" s="3" t="inlineStr">
        <is>
          <t>干扰可观察</t>
        </is>
      </c>
      <c r="E348" s="2" t="inlineStr">
        <is>
          <t>P1</t>
        </is>
      </c>
      <c r="F348" s="3" t="inlineStr">
        <is>
          <t>关联 FT-11</t>
        </is>
      </c>
      <c r="G348" s="3" t="inlineStr">
        <is>
          <t>（见父案步骤）</t>
        </is>
      </c>
      <c r="H348" s="3" t="inlineStr">
        <is>
          <t>制造干扰后数值可观察地下降（该页是判断 d) 类隐患的运维工具）</t>
        </is>
      </c>
      <c r="I348" s="3" t="n"/>
      <c r="J348" s="2" t="inlineStr">
        <is>
          <t>通过</t>
        </is>
      </c>
      <c r="K348" s="2" t="n"/>
      <c r="L348" s="2" t="n"/>
      <c r="M348" s="3" t="n"/>
      <c r="N348" s="2" t="inlineStr">
        <is>
          <t>监控&amp;控制 / 通讯成功率</t>
        </is>
      </c>
    </row>
    <row r="349">
      <c r="A349" s="2" t="n">
        <v>348</v>
      </c>
      <c r="B349" s="2" t="inlineStr">
        <is>
          <t>UI-08.3</t>
        </is>
      </c>
      <c r="C349" s="3" t="inlineStr">
        <is>
          <t>人机菜单(产品级)</t>
        </is>
      </c>
      <c r="D349" s="3" t="inlineStr">
        <is>
          <t>通讯成功率·回路切换</t>
        </is>
      </c>
      <c r="E349" s="2" t="inlineStr">
        <is>
          <t>P1</t>
        </is>
      </c>
      <c r="F349" s="3" t="inlineStr">
        <is>
          <t>现场补充</t>
        </is>
      </c>
      <c r="G349" s="3" t="inlineStr">
        <is>
          <t>通讯成功率页切换回路号→确定</t>
        </is>
      </c>
      <c r="H349" s="3" t="inlineStr">
        <is>
          <t>能正确切换回路并刷新该回路 001~250 的成功率矩阵</t>
        </is>
      </c>
      <c r="I349" s="3" t="inlineStr">
        <is>
          <t>能正确切换回路，矩阵按回路刷新（回路2：仅 026/027/028/029 有值 =100/099/086/081，其余 ---）</t>
        </is>
      </c>
      <c r="J349" s="5" t="inlineStr">
        <is>
          <t>通过</t>
        </is>
      </c>
      <c r="K349" s="2" t="n"/>
      <c r="L349" s="2" t="inlineStr">
        <is>
          <t>2026-08-18</t>
        </is>
      </c>
      <c r="M349" s="3" t="inlineStr">
        <is>
          <t>现场实测补充用例</t>
        </is>
      </c>
      <c r="N349" s="2" t="inlineStr">
        <is>
          <t>监控&amp;控制 / 通讯成功率</t>
        </is>
      </c>
    </row>
    <row r="350">
      <c r="A350" s="2" t="n">
        <v>349</v>
      </c>
      <c r="B350" s="2" t="inlineStr">
        <is>
          <t>UI-08.4</t>
        </is>
      </c>
      <c r="C350" s="3" t="inlineStr">
        <is>
          <t>人机菜单(产品级)</t>
        </is>
      </c>
      <c r="D350" s="3" t="inlineStr">
        <is>
          <t>通讯成功率·返回按钮</t>
        </is>
      </c>
      <c r="E350" s="2" t="inlineStr">
        <is>
          <t>P1</t>
        </is>
      </c>
      <c r="F350" s="3" t="inlineStr">
        <is>
          <t>现场补充</t>
        </is>
      </c>
      <c r="G350" s="3" t="inlineStr">
        <is>
          <t>在通讯成功率页点击右上角按钮</t>
        </is>
      </c>
      <c r="H350" s="3" t="inlineStr">
        <is>
          <t>右上角应为返回按钮，点击返回上一页</t>
        </is>
      </c>
      <c r="I350" s="3" t="inlineStr">
        <is>
          <t>显示的是菜单按钮，点击跳到菜单页（全局导航缺陷，同源第 11 处）</t>
        </is>
      </c>
      <c r="J350" s="7" t="inlineStr">
        <is>
          <t>不通过</t>
        </is>
      </c>
      <c r="K350" s="2" t="n"/>
      <c r="L350" s="2" t="inlineStr">
        <is>
          <t>2026-08-18</t>
        </is>
      </c>
      <c r="M350" s="3" t="inlineStr">
        <is>
          <t>现场实测补充用例；全局导航缺陷</t>
        </is>
      </c>
      <c r="N350" s="2" t="inlineStr">
        <is>
          <t>监控&amp;控制 / 通讯成功率</t>
        </is>
      </c>
    </row>
    <row r="351">
      <c r="A351" s="2" t="n">
        <v>350</v>
      </c>
      <c r="B351" s="2" t="inlineStr">
        <is>
          <t>UI-08.5</t>
        </is>
      </c>
      <c r="C351" s="3" t="inlineStr">
        <is>
          <t>人机菜单(产品级)</t>
        </is>
      </c>
      <c r="D351" s="3" t="inlineStr">
        <is>
          <t>通讯成功率·低成功率观察</t>
        </is>
      </c>
      <c r="E351" s="2" t="inlineStr">
        <is>
          <t>P2</t>
        </is>
      </c>
      <c r="F351" s="3" t="inlineStr">
        <is>
          <t>现场补充</t>
        </is>
      </c>
      <c r="G351" s="3" t="inlineStr">
        <is>
          <t>查看回路 2 在线点位的成功率数值</t>
        </is>
      </c>
      <c r="H351" s="3" t="inlineStr">
        <is>
          <t>UI-08.1：正常时成功率稳定（标准未给硬阈值）</t>
        </is>
      </c>
      <c r="I351" s="3" t="inlineStr">
        <is>
          <t>在线 4 点为 100/099/086/081；086 与 081 明显偏低，疑线路质量或终端匹配问题，建议复测并与 CM-16 通信线独立性一并核</t>
        </is>
      </c>
      <c r="J351" s="8" t="inlineStr">
        <is>
          <t>通过</t>
        </is>
      </c>
      <c r="K351" s="2" t="n"/>
      <c r="L351" s="2" t="inlineStr">
        <is>
          <t>2026-08-18</t>
        </is>
      </c>
      <c r="M351" s="3" t="inlineStr">
        <is>
          <t>观察项，非判废依据</t>
        </is>
      </c>
      <c r="N351" s="2" t="inlineStr">
        <is>
          <t>监控&amp;控制 / 通讯成功率</t>
        </is>
      </c>
    </row>
    <row r="352">
      <c r="A352" s="2" t="n">
        <v>351</v>
      </c>
      <c r="B352" s="2" t="inlineStr">
        <is>
          <t>UI-09</t>
        </is>
      </c>
      <c r="C352" s="3" t="inlineStr">
        <is>
          <t>人机菜单(产品级)</t>
        </is>
      </c>
      <c r="D352" s="3" t="n"/>
      <c r="E352" s="2" t="inlineStr">
        <is>
          <t>P1</t>
        </is>
      </c>
      <c r="F352" s="3" t="inlineStr">
        <is>
          <t>关联 PW-07</t>
        </is>
      </c>
      <c r="G352" s="3" t="inlineStr">
        <is>
          <t>机内设备监控（总案）——查看主/备电电压、备电电量、充电状态</t>
        </is>
      </c>
      <c r="H352" s="3" t="inlineStr">
        <is>
          <t>见子项</t>
        </is>
      </c>
      <c r="I352" s="3" t="n"/>
      <c r="J352" s="2" t="inlineStr">
        <is>
          <t>通过</t>
        </is>
      </c>
      <c r="K352" s="2" t="n"/>
      <c r="L352" s="2" t="inlineStr">
        <is>
          <t>2026-09-03</t>
        </is>
      </c>
      <c r="M352" s="3" t="n"/>
      <c r="N352" s="2" t="inlineStr">
        <is>
          <t>监控&amp;控制 / 机内设备监控</t>
        </is>
      </c>
    </row>
    <row r="353">
      <c r="A353" s="2" t="n">
        <v>352</v>
      </c>
      <c r="B353" s="2" t="inlineStr">
        <is>
          <t>UI-09.1</t>
        </is>
      </c>
      <c r="C353" s="3" t="inlineStr">
        <is>
          <t>人机菜单(产品级)</t>
        </is>
      </c>
      <c r="D353" s="3" t="inlineStr">
        <is>
          <t>读数准确</t>
        </is>
      </c>
      <c r="E353" s="2" t="inlineStr">
        <is>
          <t>P1</t>
        </is>
      </c>
      <c r="F353" s="3" t="inlineStr">
        <is>
          <t>关联 PW-07</t>
        </is>
      </c>
      <c r="G353" s="3" t="inlineStr">
        <is>
          <t>（见父案步骤）</t>
        </is>
      </c>
      <c r="H353" s="3" t="inlineStr">
        <is>
          <t>与万用表实测一致（容差内）</t>
        </is>
      </c>
      <c r="I353" s="3" t="n"/>
      <c r="J353" s="2" t="inlineStr">
        <is>
          <t>通过</t>
        </is>
      </c>
      <c r="K353" s="2" t="n"/>
      <c r="L353" s="2" t="inlineStr">
        <is>
          <t>2026-09-03</t>
        </is>
      </c>
      <c r="M353" s="3" t="inlineStr">
        <is>
          <t>⚠️机内监控"通信帧数"页不含电压/电量，本判据需另找电压显示页</t>
        </is>
      </c>
      <c r="N353" s="2" t="inlineStr">
        <is>
          <t>监控&amp;控制 / 机内设备监控</t>
        </is>
      </c>
    </row>
    <row r="354">
      <c r="A354" s="2" t="n">
        <v>353</v>
      </c>
      <c r="B354" s="2" t="inlineStr">
        <is>
          <t>UI-09.3</t>
        </is>
      </c>
      <c r="C354" s="3" t="inlineStr">
        <is>
          <t>人机菜单(产品级)</t>
        </is>
      </c>
      <c r="D354" s="3" t="inlineStr">
        <is>
          <t>机内监控·页面可用与刷新</t>
        </is>
      </c>
      <c r="E354" s="2" t="inlineStr">
        <is>
          <t>P1</t>
        </is>
      </c>
      <c r="F354" s="3" t="inlineStr">
        <is>
          <t>现场补充</t>
        </is>
      </c>
      <c r="G354" s="3" t="inlineStr">
        <is>
          <t>进入机内监控页，观察机内设备收发帧数矩阵</t>
        </is>
      </c>
      <c r="H354" s="3" t="inlineStr">
        <is>
          <t>页面正常显示各机内设备的主控发送/接收帧数并按提示周期刷新</t>
        </is>
      </c>
      <c r="I354" s="3" t="inlineStr">
        <is>
          <t>页面正常显示6类机内设备（电源模块/打印机/存储单元/直控盘/回路卡1/回路卡2）收发帧数；页内提示"每2S刷新一次，最长连续监控十分钟，十分钟后清零重新统计"</t>
        </is>
      </c>
      <c r="J354" s="5" t="inlineStr">
        <is>
          <t>通过</t>
        </is>
      </c>
      <c r="K354" s="2" t="n"/>
      <c r="L354" s="2" t="inlineStr">
        <is>
          <t>2026-08-18</t>
        </is>
      </c>
      <c r="M354" s="3" t="inlineStr">
        <is>
          <t>现场实测补充用例</t>
        </is>
      </c>
      <c r="N354" s="2" t="inlineStr">
        <is>
          <t>监控&amp;控制 / 机内设备监控</t>
        </is>
      </c>
    </row>
    <row r="355">
      <c r="A355" s="2" t="n">
        <v>354</v>
      </c>
      <c r="B355" s="2" t="inlineStr">
        <is>
          <t>UI-09.4</t>
        </is>
      </c>
      <c r="C355" s="3" t="inlineStr">
        <is>
          <t>人机菜单(产品级)</t>
        </is>
      </c>
      <c r="D355" s="3" t="inlineStr">
        <is>
          <t>机内监控·打印机通信应答</t>
        </is>
      </c>
      <c r="E355" s="2" t="inlineStr">
        <is>
          <t>P1</t>
        </is>
      </c>
      <c r="F355" s="3" t="inlineStr">
        <is>
          <t>现场补充</t>
        </is>
      </c>
      <c r="G355" s="3" t="inlineStr">
        <is>
          <t>观察打印机行的主控发送/接收帧数</t>
        </is>
      </c>
      <c r="H355" s="3" t="inlineStr">
        <is>
          <t>若打印机已配置且协议需应答，接收帧数应随发送增长</t>
        </is>
      </c>
      <c r="I355" s="3" t="inlineStr">
        <is>
          <t>实测 发送212 / 接收0。⚠️需先确认打印机是否已安装、协议是否需应答：需应答→本条不通过且属通信故障；不需应答→改判不适用。牵连 FA-11.2/FA-11.4/GE-10.2/GE-10.3</t>
        </is>
      </c>
      <c r="J355" s="8" t="inlineStr">
        <is>
          <t>不适用</t>
        </is>
      </c>
      <c r="K355" s="2" t="n"/>
      <c r="L355" s="2" t="inlineStr">
        <is>
          <t>2026-08-18</t>
        </is>
      </c>
      <c r="M355" s="3" t="inlineStr">
        <is>
          <t>⚠️结论待开发确认协议应答要求</t>
        </is>
      </c>
      <c r="N355" s="2" t="inlineStr">
        <is>
          <t>监控&amp;控制 / 机内设备监控</t>
        </is>
      </c>
    </row>
    <row r="356">
      <c r="A356" s="2" t="n">
        <v>355</v>
      </c>
      <c r="B356" s="2" t="inlineStr">
        <is>
          <t>UI-09.5</t>
        </is>
      </c>
      <c r="C356" s="3" t="inlineStr">
        <is>
          <t>人机菜单(产品级)</t>
        </is>
      </c>
      <c r="D356" s="3" t="inlineStr">
        <is>
          <t>机内监控·存储单元通信应答</t>
        </is>
      </c>
      <c r="E356" s="2" t="inlineStr">
        <is>
          <t>P0</t>
        </is>
      </c>
      <c r="F356" s="3" t="inlineStr">
        <is>
          <t>现场补充</t>
        </is>
      </c>
      <c r="G356" s="3" t="inlineStr">
        <is>
          <t>观察存储单元行的主控发送/接收帧数；同时查看顶栏状态与检查页故障数</t>
        </is>
      </c>
      <c r="H356" s="3" t="inlineStr">
        <is>
          <t>存储单元(黑匣子)为GB强制部件，通信异常应被检出并计入故障</t>
        </is>
      </c>
      <c r="I356" s="3" t="inlineStr">
        <is>
          <t>实测 发送330 / 接收0，但顶栏显示"正常"、CK-07 检查页故障数=1(仅输入模块断路)，未计入存储单元。⚠️矛盾：若协议需应答→通信故障+故障检测漏报(违GB 5.4.3)；若不需应答→本列显示有误导性。牵连黑匣子类17条用例(FA-02.5/FA-12.3/SH-02.4/UI-13.3/UI-14.2/UI-19.3等)</t>
        </is>
      </c>
      <c r="J356" s="8" t="inlineStr">
        <is>
          <t>待测</t>
        </is>
      </c>
      <c r="K356" s="2" t="n"/>
      <c r="L356" s="2" t="inlineStr">
        <is>
          <t>2026-08-18</t>
        </is>
      </c>
      <c r="M356" s="3" t="inlineStr">
        <is>
          <t>⚠️P0：黑匣子是17条用例的前置依赖，须优先定论</t>
        </is>
      </c>
      <c r="N356" s="2" t="inlineStr">
        <is>
          <t>监控&amp;控制 / 机内设备监控</t>
        </is>
      </c>
    </row>
    <row r="357">
      <c r="A357" s="2" t="n">
        <v>356</v>
      </c>
      <c r="B357" s="2" t="inlineStr">
        <is>
          <t>UI-10</t>
        </is>
      </c>
      <c r="C357" s="3" t="inlineStr">
        <is>
          <t>人机菜单(产品级)</t>
        </is>
      </c>
      <c r="D357" s="3" t="n"/>
      <c r="E357" s="2" t="inlineStr">
        <is>
          <t>P1</t>
        </is>
      </c>
      <c r="F357" s="3" t="inlineStr">
        <is>
          <t>表 1 第 8 项</t>
        </is>
      </c>
      <c r="G357" s="3" t="inlineStr">
        <is>
          <t>启停控制（总案）——Ⅰ 级态尝试菜单启停某设备；Ⅱ 级登录后再操作</t>
        </is>
      </c>
      <c r="H357" s="3" t="inlineStr">
        <is>
          <t>见子项</t>
        </is>
      </c>
      <c r="I357" s="3" t="n"/>
      <c r="J357" s="2" t="inlineStr">
        <is>
          <t>通过</t>
        </is>
      </c>
      <c r="K357" s="2" t="n"/>
      <c r="L357" s="2" t="n"/>
      <c r="M357" s="3" t="n"/>
      <c r="N357" s="2" t="inlineStr">
        <is>
          <t>监控&amp;控制 / 启停控制</t>
        </is>
      </c>
    </row>
    <row r="358">
      <c r="A358" s="2" t="n">
        <v>357</v>
      </c>
      <c r="B358" s="2" t="inlineStr">
        <is>
          <t>UI-10.1</t>
        </is>
      </c>
      <c r="C358" s="3" t="inlineStr">
        <is>
          <t>人机菜单(产品级)</t>
        </is>
      </c>
      <c r="D358" s="3" t="inlineStr">
        <is>
          <t>Ⅰ 级被拦</t>
        </is>
      </c>
      <c r="E358" s="2" t="inlineStr">
        <is>
          <t>P1</t>
        </is>
      </c>
      <c r="F358" s="3" t="inlineStr">
        <is>
          <t>表 1 第 8 项</t>
        </is>
      </c>
      <c r="G358" s="3" t="inlineStr">
        <is>
          <t>（见父案步骤）</t>
        </is>
      </c>
      <c r="H358" s="3" t="inlineStr">
        <is>
          <t>Ⅰ 级被拦</t>
        </is>
      </c>
      <c r="I358" s="3" t="n"/>
      <c r="J358" s="2" t="inlineStr">
        <is>
          <t>通过</t>
        </is>
      </c>
      <c r="K358" s="2" t="n"/>
      <c r="L358" s="2" t="n"/>
      <c r="M358" s="3" t="inlineStr">
        <is>
          <t>⚠️待测：需退回一级权限后重试启停，应被拦（同 OP-01.2）</t>
        </is>
      </c>
      <c r="N358" s="2" t="inlineStr">
        <is>
          <t>监控&amp;控制 / 启停控制</t>
        </is>
      </c>
    </row>
    <row r="359">
      <c r="A359" s="2" t="n">
        <v>358</v>
      </c>
      <c r="B359" s="2" t="inlineStr">
        <is>
          <t>UI-10.2</t>
        </is>
      </c>
      <c r="C359" s="3" t="inlineStr">
        <is>
          <t>人机菜单(产品级)</t>
        </is>
      </c>
      <c r="D359" s="3" t="inlineStr">
        <is>
          <t>Ⅱ 级可启停</t>
        </is>
      </c>
      <c r="E359" s="2" t="inlineStr">
        <is>
          <t>P1</t>
        </is>
      </c>
      <c r="F359" s="3" t="inlineStr">
        <is>
          <t>表 1 第 8 项</t>
        </is>
      </c>
      <c r="G359" s="3" t="inlineStr">
        <is>
          <t>（见父案步骤）</t>
        </is>
      </c>
      <c r="H359" s="3" t="inlineStr">
        <is>
          <t>Ⅱ 级可启停，动作与黑匣子记录一致</t>
        </is>
      </c>
      <c r="I359" s="3" t="inlineStr">
        <is>
          <t>二级权限下，设备启停页输入 2回路/2地址 → 启动/停止均生效；控制器启动后发出报警声，停止后声音关闭</t>
        </is>
      </c>
      <c r="J359" s="5" t="inlineStr">
        <is>
          <t>通过</t>
        </is>
      </c>
      <c r="K359" s="2" t="n"/>
      <c r="L359" s="2" t="inlineStr">
        <is>
          <t>2026-08-18</t>
        </is>
      </c>
      <c r="M359" s="3" t="inlineStr">
        <is>
          <t>现场实测（顶栏权限=二级）</t>
        </is>
      </c>
      <c r="N359" s="2" t="inlineStr">
        <is>
          <t>监控&amp;控制 / 启停控制</t>
        </is>
      </c>
    </row>
    <row r="360">
      <c r="A360" s="2" t="n">
        <v>359</v>
      </c>
      <c r="B360" s="2" t="inlineStr">
        <is>
          <t>UI-10.3</t>
        </is>
      </c>
      <c r="C360" s="3" t="inlineStr">
        <is>
          <t>人机菜单(产品级)</t>
        </is>
      </c>
      <c r="D360" s="3" t="inlineStr">
        <is>
          <t>启停·物理按键联动</t>
        </is>
      </c>
      <c r="E360" s="2" t="inlineStr">
        <is>
          <t>P1</t>
        </is>
      </c>
      <c r="F360" s="3" t="inlineStr">
        <is>
          <t>现场补充</t>
        </is>
      </c>
      <c r="G360" s="3" t="inlineStr">
        <is>
          <t>在设备启停页启动/停止受控设备，同时观察面板物理按键对应的报警器</t>
        </is>
      </c>
      <c r="H360" s="3" t="inlineStr">
        <is>
          <t>面板物理按键控制的报警器状态应与菜单启停联动一致</t>
        </is>
      </c>
      <c r="I360" s="3" t="inlineStr">
        <is>
          <t>物理按键的报警器与本功能联动一致；控制器启动后有报警声，停止后声音关闭</t>
        </is>
      </c>
      <c r="J360" s="5" t="inlineStr">
        <is>
          <t>通过</t>
        </is>
      </c>
      <c r="K360" s="2" t="n"/>
      <c r="L360" s="2" t="inlineStr">
        <is>
          <t>2026-08-18</t>
        </is>
      </c>
      <c r="M360" s="3" t="inlineStr">
        <is>
          <t>现场实测补充用例</t>
        </is>
      </c>
      <c r="N360" s="2" t="inlineStr">
        <is>
          <t>监控&amp;控制 / 启停控制</t>
        </is>
      </c>
    </row>
    <row r="361">
      <c r="A361" s="2" t="n">
        <v>360</v>
      </c>
      <c r="B361" s="2" t="inlineStr">
        <is>
          <t>UI-10.4</t>
        </is>
      </c>
      <c r="C361" s="3" t="inlineStr">
        <is>
          <t>人机菜单(产品级)</t>
        </is>
      </c>
      <c r="D361" s="3" t="inlineStr">
        <is>
          <t>启停·返回按钮响应</t>
        </is>
      </c>
      <c r="E361" s="2" t="inlineStr">
        <is>
          <t>P1</t>
        </is>
      </c>
      <c r="F361" s="3" t="inlineStr">
        <is>
          <t>现场补充</t>
        </is>
      </c>
      <c r="G361" s="3" t="inlineStr">
        <is>
          <t>在设备启停页点击右上角返回按钮</t>
        </is>
      </c>
      <c r="H361" s="3" t="inlineStr">
        <is>
          <t>右上角应显示返回按钮，点击返回上一页</t>
        </is>
      </c>
      <c r="I361" s="3" t="inlineStr">
        <is>
          <t>⚠️与其他页不同：本页返回按钮显示正确，但点击无响应。属全局导航缺陷的第二亚型（显示对/不响应），另一亚型为显示成菜单按钮</t>
        </is>
      </c>
      <c r="J361" s="7" t="inlineStr">
        <is>
          <t>不通过</t>
        </is>
      </c>
      <c r="K361" s="2" t="n"/>
      <c r="L361" s="2" t="inlineStr">
        <is>
          <t>2026-08-18</t>
        </is>
      </c>
      <c r="M361" s="3" t="inlineStr">
        <is>
          <t>现场实测补充用例；全局导航缺陷·亚型B</t>
        </is>
      </c>
      <c r="N361" s="2" t="inlineStr">
        <is>
          <t>监控&amp;控制 / 启停控制</t>
        </is>
      </c>
    </row>
    <row r="362">
      <c r="A362" s="2" t="n">
        <v>361</v>
      </c>
      <c r="B362" s="2" t="inlineStr">
        <is>
          <t>UI-10.5</t>
        </is>
      </c>
      <c r="C362" s="3" t="inlineStr">
        <is>
          <t>人机菜单(产品级)</t>
        </is>
      </c>
      <c r="D362" s="3" t="inlineStr">
        <is>
          <t>启停·联动地址操作入口</t>
        </is>
      </c>
      <c r="E362" s="2" t="inlineStr">
        <is>
          <t>P2</t>
        </is>
      </c>
      <c r="F362" s="3" t="inlineStr">
        <is>
          <t>现场补充</t>
        </is>
      </c>
      <c r="G362" s="3" t="inlineStr">
        <is>
          <t>观察页面第二组输入「联动地址操作」</t>
        </is>
      </c>
      <c r="H362" s="3" t="inlineStr">
        <is>
          <t>除逻辑地址(回路/地址)外，另提供按联动地址启停的入口</t>
        </is>
      </c>
      <c r="I362" s="3" t="inlineStr">
        <is>
          <t>页面存在「逻辑地址操作」与「联动地址操作」两组入口；本次仅验证逻辑地址组，联动地址组未输入未测</t>
        </is>
      </c>
      <c r="J362" s="8" t="inlineStr">
        <is>
          <t>待测</t>
        </is>
      </c>
      <c r="K362" s="2" t="n"/>
      <c r="L362" s="2" t="inlineStr">
        <is>
          <t>2026-08-18</t>
        </is>
      </c>
      <c r="M362" s="3" t="inlineStr">
        <is>
          <t>联动地址组待补测</t>
        </is>
      </c>
      <c r="N362" s="2" t="inlineStr">
        <is>
          <t>监控&amp;控制 / 启停控制</t>
        </is>
      </c>
    </row>
    <row r="363">
      <c r="A363" s="2" t="n">
        <v>362</v>
      </c>
      <c r="B363" s="2" t="inlineStr">
        <is>
          <t>UI-11</t>
        </is>
      </c>
      <c r="C363" s="3" t="inlineStr">
        <is>
          <t>人机菜单(产品级)</t>
        </is>
      </c>
      <c r="D363" s="3" t="inlineStr">
        <is>
          <t>屏蔽控制</t>
        </is>
      </c>
      <c r="E363" s="2" t="inlineStr">
        <is>
          <t>P1</t>
        </is>
      </c>
      <c r="F363" s="3" t="inlineStr">
        <is>
          <t>关联 SH-01</t>
        </is>
      </c>
      <c r="G363" s="3" t="inlineStr">
        <is>
          <t>菜单路径执行屏蔽/解除</t>
        </is>
      </c>
      <c r="H363" s="3" t="inlineStr">
        <is>
          <t>权限、每次 1 只、报警/故障中不可屏——SH-01 全部判据经菜单路径同样成立</t>
        </is>
      </c>
      <c r="I363" s="3" t="n"/>
      <c r="J363" s="2" t="inlineStr">
        <is>
          <t>通过</t>
        </is>
      </c>
      <c r="K363" s="2" t="n"/>
      <c r="L363" s="2" t="n"/>
      <c r="M363" s="3" t="n"/>
      <c r="N363" s="2" t="inlineStr">
        <is>
          <t>监控&amp;控制 / 屏蔽控制</t>
        </is>
      </c>
    </row>
    <row r="364">
      <c r="A364" s="2" t="n">
        <v>363</v>
      </c>
      <c r="B364" s="2" t="inlineStr">
        <is>
          <t>UI-11.2</t>
        </is>
      </c>
      <c r="C364" s="3" t="inlineStr">
        <is>
          <t>人机菜单(产品级)</t>
        </is>
      </c>
      <c r="D364" s="3" t="inlineStr">
        <is>
          <t>屏蔽生效·被屏蔽设备不响应</t>
        </is>
      </c>
      <c r="E364" s="2" t="inlineStr">
        <is>
          <t>P0</t>
        </is>
      </c>
      <c r="F364" s="3" t="inlineStr">
        <is>
          <t>5.4.4 屏蔽语义</t>
        </is>
      </c>
      <c r="G364" s="3" t="inlineStr">
        <is>
          <t>屏蔽声光报警器 → 按物理手报触发</t>
        </is>
      </c>
      <c r="H364" s="3" t="inlineStr">
        <is>
          <t>被屏蔽设备不参与报警响应，屏蔽灯亮</t>
        </is>
      </c>
      <c r="I364" s="3" t="inlineStr">
        <is>
          <t>✅ 屏蔽后屏蔽灯亮，按物理报警器时声光报警器无响应</t>
        </is>
      </c>
      <c r="J364" s="5" t="inlineStr">
        <is>
          <t>通过</t>
        </is>
      </c>
      <c r="K364" s="2" t="n"/>
      <c r="L364" s="2" t="inlineStr">
        <is>
          <t>2026-08-18</t>
        </is>
      </c>
      <c r="M364" s="3" t="inlineStr">
        <is>
          <t>屏蔽核心功能验证</t>
        </is>
      </c>
      <c r="N364" s="2" t="inlineStr">
        <is>
          <t>监控&amp;控制 / 屏蔽控制</t>
        </is>
      </c>
    </row>
    <row r="365">
      <c r="A365" s="2" t="n">
        <v>364</v>
      </c>
      <c r="B365" s="2" t="inlineStr">
        <is>
          <t>UI-11.3</t>
        </is>
      </c>
      <c r="C365" s="3" t="inlineStr">
        <is>
          <t>人机菜单(产品级)</t>
        </is>
      </c>
      <c r="D365" s="3" t="inlineStr">
        <is>
          <t>解除屏蔽·恢复响应</t>
        </is>
      </c>
      <c r="E365" s="2" t="inlineStr">
        <is>
          <t>P0</t>
        </is>
      </c>
      <c r="F365" s="3" t="inlineStr">
        <is>
          <t>SH-05.2 单独解除</t>
        </is>
      </c>
      <c r="G365" s="3" t="inlineStr">
        <is>
          <t>解除屏蔽 → 再按物理手报</t>
        </is>
      </c>
      <c r="H365" s="3" t="inlineStr">
        <is>
          <t>解除后屏蔽灯熄灭，设备恢复正常报警响应</t>
        </is>
      </c>
      <c r="I365" s="3" t="inlineStr">
        <is>
          <t>✅ 解除后屏蔽灯关闭，按物理报警器声光报警器正常响应</t>
        </is>
      </c>
      <c r="J365" s="5" t="inlineStr">
        <is>
          <t>通过</t>
        </is>
      </c>
      <c r="K365" s="2" t="n"/>
      <c r="L365" s="2" t="inlineStr">
        <is>
          <t>2026-08-18</t>
        </is>
      </c>
      <c r="M365" s="3" t="n"/>
      <c r="N365" s="2" t="inlineStr">
        <is>
          <t>监控&amp;控制 / 屏蔽控制</t>
        </is>
      </c>
    </row>
    <row r="366">
      <c r="A366" s="2" t="n">
        <v>365</v>
      </c>
      <c r="B366" s="2" t="inlineStr">
        <is>
          <t>UI-11.5</t>
        </is>
      </c>
      <c r="C366" s="3" t="inlineStr">
        <is>
          <t>人机菜单(产品级)</t>
        </is>
      </c>
      <c r="D366" s="3" t="inlineStr">
        <is>
          <t>消音灯常亮·不自动复位</t>
        </is>
      </c>
      <c r="E366" s="2" t="inlineStr">
        <is>
          <t>P0</t>
        </is>
      </c>
      <c r="F366" s="3" t="inlineStr">
        <is>
          <t>FA-06.4 / FT-04.1</t>
        </is>
      </c>
      <c r="G366" s="3" t="inlineStr">
        <is>
          <t>手动消音后观察消音灯</t>
        </is>
      </c>
      <c r="H366" s="3" t="inlineStr">
        <is>
          <t>FA-06.4：新火警输入时消音灯应熄灭；消音状态须能自动退出</t>
        </is>
      </c>
      <c r="I366" s="3" t="inlineStr">
        <is>
          <t>❌ 物理消音灯一直亮着不复位。⚠️安全风险：若消音态未退出，下一次真火警时(a)值班员会误判"已消过音"(b)火警声可能被压制。须立即验证：当前消音灯亮态下触发新火警(加烟/按手报)，看消音灯是否熄灭、火警声是否响起(FA-06.4 / LC-11.4)。注：FT-04.1「新故障声再启动」已测通过，但火警侧未验</t>
        </is>
      </c>
      <c r="J366" s="7" t="inlineStr">
        <is>
          <t>不通过</t>
        </is>
      </c>
      <c r="K366" s="2" t="n"/>
      <c r="L366" s="2" t="inlineStr">
        <is>
          <t>2026-08-18</t>
        </is>
      </c>
      <c r="M366" s="3" t="inlineStr">
        <is>
          <t>⚠️P0 安全项，优先于全部导航缺陷</t>
        </is>
      </c>
      <c r="N366" s="2" t="inlineStr">
        <is>
          <t>监控&amp;控制 / 屏蔽控制</t>
        </is>
      </c>
    </row>
    <row r="367">
      <c r="A367" s="2" t="n">
        <v>366</v>
      </c>
      <c r="B367" s="2" t="inlineStr">
        <is>
          <t>UI-11.6</t>
        </is>
      </c>
      <c r="C367" s="3" t="inlineStr">
        <is>
          <t>人机菜单(产品级)</t>
        </is>
      </c>
      <c r="D367" s="3" t="inlineStr">
        <is>
          <t>屏蔽页·返回按钮响应</t>
        </is>
      </c>
      <c r="E367" s="2" t="inlineStr">
        <is>
          <t>P1</t>
        </is>
      </c>
      <c r="F367" s="3" t="inlineStr">
        <is>
          <t>现场补充</t>
        </is>
      </c>
      <c r="G367" s="3" t="inlineStr">
        <is>
          <t>在设备屏蔽页点击右上角返回按钮</t>
        </is>
      </c>
      <c r="H367" s="3" t="inlineStr">
        <is>
          <t>点击应返回上一页</t>
        </is>
      </c>
      <c r="I367" s="3" t="inlineStr">
        <is>
          <t>❌ 返回按钮无响应（全局导航缺陷·亚型B：显示对/不响应）</t>
        </is>
      </c>
      <c r="J367" s="7" t="inlineStr">
        <is>
          <t>不通过</t>
        </is>
      </c>
      <c r="K367" s="2" t="n"/>
      <c r="L367" s="2" t="inlineStr">
        <is>
          <t>2026-08-18</t>
        </is>
      </c>
      <c r="M367" s="3" t="inlineStr">
        <is>
          <t>全局导航缺陷·亚型B</t>
        </is>
      </c>
      <c r="N367" s="2" t="inlineStr">
        <is>
          <t>监控&amp;控制 / 屏蔽控制</t>
        </is>
      </c>
    </row>
    <row r="368">
      <c r="A368" s="2" t="n">
        <v>367</v>
      </c>
      <c r="B368" s="2" t="inlineStr">
        <is>
          <t>UI-12</t>
        </is>
      </c>
      <c r="C368" s="3" t="inlineStr">
        <is>
          <t>人机菜单(产品级)</t>
        </is>
      </c>
      <c r="D368" s="3" t="n"/>
      <c r="E368" s="2" t="inlineStr">
        <is>
          <t>P1</t>
        </is>
      </c>
      <c r="F368" s="3" t="inlineStr">
        <is>
          <t>关联 OP-01/02</t>
        </is>
      </c>
      <c r="G368" s="3" t="inlineStr">
        <is>
          <t>用户登陆（总案）——正确/错误密码各试；登录后放置超时</t>
        </is>
      </c>
      <c r="H368" s="3" t="inlineStr">
        <is>
          <t>见子项</t>
        </is>
      </c>
      <c r="I368" s="3" t="inlineStr">
        <is>
          <t>用户登陆功能全部测试通过（顶栏权限图标已随登录变为"二级"）</t>
        </is>
      </c>
      <c r="J368" s="5" t="inlineStr">
        <is>
          <t>通过</t>
        </is>
      </c>
      <c r="K368" s="2" t="n"/>
      <c r="L368" s="2" t="inlineStr">
        <is>
          <t>2026-08-18</t>
        </is>
      </c>
      <c r="M368" s="3" t="n"/>
      <c r="N368" s="2" t="inlineStr">
        <is>
          <t>设置 / 用户登陆</t>
        </is>
      </c>
    </row>
    <row r="369">
      <c r="A369" s="2" t="n">
        <v>368</v>
      </c>
      <c r="B369" s="2" t="inlineStr">
        <is>
          <t>UI-12.1</t>
        </is>
      </c>
      <c r="C369" s="3" t="inlineStr">
        <is>
          <t>人机菜单(产品级)</t>
        </is>
      </c>
      <c r="D369" s="3" t="inlineStr">
        <is>
          <t>正确密码升级</t>
        </is>
      </c>
      <c r="E369" s="2" t="inlineStr">
        <is>
          <t>P1</t>
        </is>
      </c>
      <c r="F369" s="3" t="inlineStr">
        <is>
          <t>关联 OP-01/02</t>
        </is>
      </c>
      <c r="G369" s="3" t="inlineStr">
        <is>
          <t>（见父案步骤）</t>
        </is>
      </c>
      <c r="H369" s="3" t="inlineStr">
        <is>
          <t>正确密码升级并显示当前级别（屏上"一级"图标变化）</t>
        </is>
      </c>
      <c r="I369" s="3" t="inlineStr">
        <is>
          <t>用户登陆功能全部测试通过（顶栏权限图标已随登录变为"二级"）</t>
        </is>
      </c>
      <c r="J369" s="5" t="inlineStr">
        <is>
          <t>通过</t>
        </is>
      </c>
      <c r="K369" s="2" t="n"/>
      <c r="L369" s="2" t="inlineStr">
        <is>
          <t>2026-08-18</t>
        </is>
      </c>
      <c r="M369" s="3" t="n"/>
      <c r="N369" s="2" t="inlineStr">
        <is>
          <t>设置 / 用户登陆</t>
        </is>
      </c>
    </row>
    <row r="370">
      <c r="A370" s="2" t="n">
        <v>369</v>
      </c>
      <c r="B370" s="2" t="inlineStr">
        <is>
          <t>UI-12.2</t>
        </is>
      </c>
      <c r="C370" s="3" t="inlineStr">
        <is>
          <t>人机菜单(产品级)</t>
        </is>
      </c>
      <c r="D370" s="3" t="inlineStr">
        <is>
          <t>错误密码拒绝</t>
        </is>
      </c>
      <c r="E370" s="2" t="inlineStr">
        <is>
          <t>P1</t>
        </is>
      </c>
      <c r="F370" s="3" t="inlineStr">
        <is>
          <t>关联 OP-01/02</t>
        </is>
      </c>
      <c r="G370" s="3" t="inlineStr">
        <is>
          <t>（见父案步骤）</t>
        </is>
      </c>
      <c r="H370" s="3" t="inlineStr">
        <is>
          <t>错误拒绝</t>
        </is>
      </c>
      <c r="I370" s="3" t="inlineStr">
        <is>
          <t>用户登陆功能全部测试通过（顶栏权限图标已随登录变为"二级"）</t>
        </is>
      </c>
      <c r="J370" s="5" t="inlineStr">
        <is>
          <t>通过</t>
        </is>
      </c>
      <c r="K370" s="2" t="n"/>
      <c r="L370" s="2" t="inlineStr">
        <is>
          <t>2026-08-18</t>
        </is>
      </c>
      <c r="M370" s="3" t="n"/>
      <c r="N370" s="2" t="inlineStr">
        <is>
          <t>设置 / 用户登陆</t>
        </is>
      </c>
    </row>
    <row r="371">
      <c r="A371" s="2" t="n">
        <v>370</v>
      </c>
      <c r="B371" s="2" t="inlineStr">
        <is>
          <t>UI-12.3</t>
        </is>
      </c>
      <c r="C371" s="3" t="inlineStr">
        <is>
          <t>人机菜单(产品级)</t>
        </is>
      </c>
      <c r="D371" s="3" t="inlineStr">
        <is>
          <t>超时回落</t>
        </is>
      </c>
      <c r="E371" s="2" t="inlineStr">
        <is>
          <t>P1</t>
        </is>
      </c>
      <c r="F371" s="3" t="inlineStr">
        <is>
          <t>关联 OP-01/02</t>
        </is>
      </c>
      <c r="G371" s="3" t="inlineStr">
        <is>
          <t>（见父案步骤）</t>
        </is>
      </c>
      <c r="H371" s="3" t="inlineStr">
        <is>
          <t>超时自动回落 Ⅰ 级</t>
        </is>
      </c>
      <c r="I371" s="3" t="inlineStr">
        <is>
          <t>用户登陆功能全部测试通过（顶栏权限图标已随登录变为"二级"）</t>
        </is>
      </c>
      <c r="J371" s="5" t="inlineStr">
        <is>
          <t>通过</t>
        </is>
      </c>
      <c r="K371" s="2" t="n"/>
      <c r="L371" s="2" t="inlineStr">
        <is>
          <t>2026-08-18</t>
        </is>
      </c>
      <c r="M371" s="3" t="n"/>
      <c r="N371" s="2" t="inlineStr">
        <is>
          <t>设置 / 用户登陆</t>
        </is>
      </c>
    </row>
    <row r="372">
      <c r="A372" s="2" t="n">
        <v>371</v>
      </c>
      <c r="B372" s="2" t="inlineStr">
        <is>
          <t>UI-13</t>
        </is>
      </c>
      <c r="C372" s="3" t="inlineStr">
        <is>
          <t>人机菜单(产品级)</t>
        </is>
      </c>
      <c r="D372" s="3" t="n"/>
      <c r="E372" s="2" t="inlineStr">
        <is>
          <t>P1</t>
        </is>
      </c>
      <c r="F372" s="3" t="inlineStr">
        <is>
          <t>关联 OP-03</t>
        </is>
      </c>
      <c r="G372" s="3" t="inlineStr">
        <is>
          <t>密码设置（总案）——Ⅲ 级改各级密码；Ⅱ 级尝试改 Ⅲ 级密码</t>
        </is>
      </c>
      <c r="H372" s="3" t="inlineStr">
        <is>
          <t>见子项</t>
        </is>
      </c>
      <c r="I372" s="3" t="n"/>
      <c r="J372" s="2" t="inlineStr">
        <is>
          <t>通过</t>
        </is>
      </c>
      <c r="K372" s="2" t="n"/>
      <c r="L372" s="2" t="n"/>
      <c r="M372" s="3" t="n"/>
      <c r="N372" s="2" t="inlineStr">
        <is>
          <t>设置 / 密码设置</t>
        </is>
      </c>
    </row>
    <row r="373">
      <c r="A373" s="2" t="n">
        <v>372</v>
      </c>
      <c r="B373" s="2" t="inlineStr">
        <is>
          <t>UI-13.1</t>
        </is>
      </c>
      <c r="C373" s="3" t="inlineStr">
        <is>
          <t>人机菜单(产品级)</t>
        </is>
      </c>
      <c r="D373" s="3" t="inlineStr">
        <is>
          <t>Ⅲ 级可改</t>
        </is>
      </c>
      <c r="E373" s="2" t="inlineStr">
        <is>
          <t>P1</t>
        </is>
      </c>
      <c r="F373" s="3" t="inlineStr">
        <is>
          <t>关联 OP-03</t>
        </is>
      </c>
      <c r="G373" s="3" t="inlineStr">
        <is>
          <t>（见父案步骤）</t>
        </is>
      </c>
      <c r="H373" s="3" t="inlineStr">
        <is>
          <t>Ⅲ 可改</t>
        </is>
      </c>
      <c r="I373" s="3" t="inlineStr">
        <is>
          <t>二级/三级密码设置结合登陆功能验证通过：各级登录后可修改本级密码，登录生效（顶栏权限图标随之变化）</t>
        </is>
      </c>
      <c r="J373" s="5" t="inlineStr">
        <is>
          <t>通过</t>
        </is>
      </c>
      <c r="K373" s="2" t="n"/>
      <c r="L373" s="2" t="inlineStr">
        <is>
          <t>2026-08-18</t>
        </is>
      </c>
      <c r="M373" s="3" t="n"/>
      <c r="N373" s="2" t="inlineStr">
        <is>
          <t>设置 / 密码设置</t>
        </is>
      </c>
    </row>
    <row r="374">
      <c r="A374" s="2" t="n">
        <v>373</v>
      </c>
      <c r="B374" s="2" t="inlineStr">
        <is>
          <t>UI-13.2</t>
        </is>
      </c>
      <c r="C374" s="3" t="inlineStr">
        <is>
          <t>人机菜单(产品级)</t>
        </is>
      </c>
      <c r="D374" s="3" t="inlineStr">
        <is>
          <t>Ⅱ 改 Ⅲ 被拦</t>
        </is>
      </c>
      <c r="E374" s="2" t="inlineStr">
        <is>
          <t>P1</t>
        </is>
      </c>
      <c r="F374" s="3" t="inlineStr">
        <is>
          <t>关联 OP-03</t>
        </is>
      </c>
      <c r="G374" s="3" t="inlineStr">
        <is>
          <t>（见父案步骤）</t>
        </is>
      </c>
      <c r="H374" s="3" t="inlineStr">
        <is>
          <t>Ⅱ 改 Ⅲ 被拦（密钥单向性）</t>
        </is>
      </c>
      <c r="I374" s="3" t="inlineStr">
        <is>
          <t>✅ 二级会话下点「三级密码设置」需输入正确的三级密码方可进入；二级凭据无法进入 → 满足 OP-03.3 密钥单向性（Ⅲ级钥匙可进Ⅱ级，Ⅱ级钥匙不能进Ⅲ级）。机制为"再认证"而非"按会话等级拦截"，同样合规</t>
        </is>
      </c>
      <c r="J374" s="5" t="inlineStr">
        <is>
          <t>通过</t>
        </is>
      </c>
      <c r="K374" s="2" t="n"/>
      <c r="L374" s="2" t="inlineStr">
        <is>
          <t>2026-08-18</t>
        </is>
      </c>
      <c r="M374" s="3" t="inlineStr">
        <is>
          <t>2026-08-18</t>
        </is>
      </c>
      <c r="N374" s="2" t="inlineStr">
        <is>
          <t>设置 / 密码设置</t>
        </is>
      </c>
    </row>
    <row r="375">
      <c r="A375" s="2" t="n">
        <v>374</v>
      </c>
      <c r="B375" s="2" t="inlineStr">
        <is>
          <t>UI-13.3</t>
        </is>
      </c>
      <c r="C375" s="3" t="inlineStr">
        <is>
          <t>人机菜单(产品级)</t>
        </is>
      </c>
      <c r="D375" s="3" t="inlineStr">
        <is>
          <t>修改事件记录</t>
        </is>
      </c>
      <c r="E375" s="2" t="inlineStr">
        <is>
          <t>P1</t>
        </is>
      </c>
      <c r="F375" s="3" t="inlineStr">
        <is>
          <t>附录 B</t>
        </is>
      </c>
      <c r="G375" s="3" t="inlineStr">
        <is>
          <t>（见父案步骤）</t>
        </is>
      </c>
      <c r="H375" s="3" t="inlineStr">
        <is>
          <t>修改事件进黑匣子</t>
        </is>
      </c>
      <c r="I375" s="3" t="n"/>
      <c r="J375" s="2" t="inlineStr">
        <is>
          <t>待测</t>
        </is>
      </c>
      <c r="K375" s="2" t="n"/>
      <c r="L375" s="2" t="n"/>
      <c r="M375" s="3" t="n"/>
      <c r="N375" s="2" t="inlineStr">
        <is>
          <t>设置 / 密码设置</t>
        </is>
      </c>
    </row>
    <row r="376">
      <c r="A376" s="2" t="n">
        <v>375</v>
      </c>
      <c r="B376" s="2" t="inlineStr">
        <is>
          <t>UI-13.4</t>
        </is>
      </c>
      <c r="C376" s="3" t="inlineStr">
        <is>
          <t>人机菜单(产品级)</t>
        </is>
      </c>
      <c r="D376" s="3" t="inlineStr">
        <is>
          <t>密码设置·返回按钮</t>
        </is>
      </c>
      <c r="E376" s="2" t="inlineStr">
        <is>
          <t>P1</t>
        </is>
      </c>
      <c r="F376" s="3" t="inlineStr">
        <is>
          <t>现场补充</t>
        </is>
      </c>
      <c r="G376" s="3" t="inlineStr">
        <is>
          <t>在密码设置页点击右上角返回按钮</t>
        </is>
      </c>
      <c r="H376" s="3" t="inlineStr">
        <is>
          <t>点击应返回上一页</t>
        </is>
      </c>
      <c r="I376" s="3" t="inlineStr">
        <is>
          <t>❌ 返回按钮不正确（全局导航缺陷）</t>
        </is>
      </c>
      <c r="J376" s="7" t="inlineStr">
        <is>
          <t>不通过</t>
        </is>
      </c>
      <c r="K376" s="2" t="n"/>
      <c r="L376" s="2" t="inlineStr">
        <is>
          <t>2026-08-18</t>
        </is>
      </c>
      <c r="M376" s="3" t="inlineStr">
        <is>
          <t>全局导航缺陷</t>
        </is>
      </c>
      <c r="N376" s="2" t="inlineStr">
        <is>
          <t>设置 / 密码设置</t>
        </is>
      </c>
    </row>
    <row r="377">
      <c r="A377" s="2" t="n">
        <v>376</v>
      </c>
      <c r="B377" s="2" t="inlineStr">
        <is>
          <t>UI-13.5</t>
        </is>
      </c>
      <c r="C377" s="3" t="inlineStr">
        <is>
          <t>人机菜单(产品级)</t>
        </is>
      </c>
      <c r="D377" s="3" t="inlineStr">
        <is>
          <t>⚠️四级密码设置入口存在于本机</t>
        </is>
      </c>
      <c r="E377" s="2" t="inlineStr">
        <is>
          <t>P2</t>
        </is>
      </c>
      <c r="F377" s="3" t="inlineStr">
        <is>
          <t>OP-04</t>
        </is>
      </c>
      <c r="G377" s="3" t="inlineStr">
        <is>
          <t>二级权限下进入密码设置页，观察入口列表</t>
        </is>
      </c>
      <c r="H377" s="3" t="inlineStr">
        <is>
          <t>OP-04：Ⅳ级（生产商级）操作不能通过控制器本身进行</t>
        </is>
      </c>
      <c r="I377" s="3" t="inlineStr">
        <is>
          <t>✅ 复核后改判（原判不通过·P0 系误判）：四级密码算法生成、不可修改，入口点击进不去。算法生成一次性口令正是防止本机修改Ⅳ级凭据的标准做法</t>
        </is>
      </c>
      <c r="J377" s="5" t="inlineStr">
        <is>
          <t>通过</t>
        </is>
      </c>
      <c r="K377" s="2" t="n"/>
      <c r="L377" s="2" t="inlineStr">
        <is>
          <t>2026-08-18</t>
        </is>
      </c>
      <c r="M377" s="3" t="inlineStr">
        <is>
          <t>2026-08-18 复核改判；原误判已订正</t>
        </is>
      </c>
      <c r="N377" s="2" t="inlineStr">
        <is>
          <t>设置 / 密码设置</t>
        </is>
      </c>
    </row>
    <row r="378">
      <c r="A378" s="2" t="n">
        <v>377</v>
      </c>
      <c r="B378" s="2" t="inlineStr">
        <is>
          <t>UI-14</t>
        </is>
      </c>
      <c r="C378" s="3" t="inlineStr">
        <is>
          <t>人机菜单(产品级)</t>
        </is>
      </c>
      <c r="D378" s="3" t="n"/>
      <c r="E378" s="2" t="inlineStr">
        <is>
          <t>P1</t>
        </is>
      </c>
      <c r="F378" s="3" t="inlineStr">
        <is>
          <t>关联 FA-11</t>
        </is>
      </c>
      <c r="G378" s="3" t="inlineStr">
        <is>
          <t>基础设置·时钟（总案）——调整时钟</t>
        </is>
      </c>
      <c r="H378" s="3" t="inlineStr">
        <is>
          <t>见子项</t>
        </is>
      </c>
      <c r="I378" s="3" t="n"/>
      <c r="J378" s="2" t="inlineStr">
        <is>
          <t>通过</t>
        </is>
      </c>
      <c r="K378" s="2" t="n"/>
      <c r="L378" s="2" t="inlineStr">
        <is>
          <t>2026-09-03</t>
        </is>
      </c>
      <c r="M378" s="3" t="n"/>
      <c r="N378" s="2" t="inlineStr">
        <is>
          <t>设置 / 基础设置</t>
        </is>
      </c>
    </row>
    <row r="379">
      <c r="A379" s="2" t="n">
        <v>378</v>
      </c>
      <c r="B379" s="2" t="inlineStr">
        <is>
          <t>UI-14.1</t>
        </is>
      </c>
      <c r="C379" s="3" t="inlineStr">
        <is>
          <t>人机菜单(产品级)</t>
        </is>
      </c>
      <c r="D379" s="3" t="inlineStr">
        <is>
          <t>调整生效</t>
        </is>
      </c>
      <c r="E379" s="2" t="inlineStr">
        <is>
          <t>P1</t>
        </is>
      </c>
      <c r="F379" s="3" t="inlineStr">
        <is>
          <t>关联 FA-11</t>
        </is>
      </c>
      <c r="G379" s="3" t="inlineStr">
        <is>
          <t>（见父案步骤）</t>
        </is>
      </c>
      <c r="H379" s="3" t="inlineStr">
        <is>
          <t>生效</t>
        </is>
      </c>
      <c r="I379" s="3" t="n"/>
      <c r="J379" s="2" t="inlineStr">
        <is>
          <t>通过</t>
        </is>
      </c>
      <c r="K379" s="2" t="n"/>
      <c r="L379" s="2" t="inlineStr">
        <is>
          <t>2026-09-03</t>
        </is>
      </c>
      <c r="M379" s="3" t="n"/>
      <c r="N379" s="2" t="inlineStr">
        <is>
          <t>设置 / 基础设置</t>
        </is>
      </c>
    </row>
    <row r="380">
      <c r="A380" s="2" t="n">
        <v>379</v>
      </c>
      <c r="B380" s="2" t="inlineStr">
        <is>
          <t>UI-14.2</t>
        </is>
      </c>
      <c r="C380" s="3" t="inlineStr">
        <is>
          <t>人机菜单(产品级)</t>
        </is>
      </c>
      <c r="D380" s="3" t="inlineStr">
        <is>
          <t>调时事件记录</t>
        </is>
      </c>
      <c r="E380" s="2" t="inlineStr">
        <is>
          <t>P1</t>
        </is>
      </c>
      <c r="F380" s="3" t="inlineStr">
        <is>
          <t>附录 B</t>
        </is>
      </c>
      <c r="G380" s="3" t="inlineStr">
        <is>
          <t>（见父案步骤）</t>
        </is>
      </c>
      <c r="H380" s="3" t="inlineStr">
        <is>
          <t>黑匣子记录"调整时钟"事件（代码 131）</t>
        </is>
      </c>
      <c r="I380" s="3" t="n"/>
      <c r="J380" s="2" t="inlineStr">
        <is>
          <t>待测</t>
        </is>
      </c>
      <c r="K380" s="2" t="n"/>
      <c r="L380" s="2" t="n"/>
      <c r="M380" s="3" t="n"/>
      <c r="N380" s="2" t="inlineStr">
        <is>
          <t>设置 / 基础设置</t>
        </is>
      </c>
    </row>
    <row r="381">
      <c r="A381" s="2" t="n">
        <v>380</v>
      </c>
      <c r="B381" s="2" t="inlineStr">
        <is>
          <t>UI-14.4</t>
        </is>
      </c>
      <c r="C381" s="3" t="inlineStr">
        <is>
          <t>人机菜单(产品级)</t>
        </is>
      </c>
      <c r="D381" s="3" t="inlineStr">
        <is>
          <t>基础设置·亮度与锁屏</t>
        </is>
      </c>
      <c r="E381" s="2" t="inlineStr">
        <is>
          <t>P2</t>
        </is>
      </c>
      <c r="F381" s="3" t="inlineStr">
        <is>
          <t>现场补充</t>
        </is>
      </c>
      <c r="G381" s="3" t="inlineStr">
        <is>
          <t>设置亮度(10~100)与锁屏时间(30~900秒)后确定</t>
        </is>
      </c>
      <c r="H381" s="3" t="inlineStr">
        <is>
          <t>设置项生效，取值在标称范围内</t>
        </is>
      </c>
      <c r="I381" s="3" t="inlineStr">
        <is>
          <t>✅ 亮度=100、锁屏时间=30秒，设置后功能正确</t>
        </is>
      </c>
      <c r="J381" s="5" t="inlineStr">
        <is>
          <t>通过</t>
        </is>
      </c>
      <c r="K381" s="2" t="n"/>
      <c r="L381" s="2" t="inlineStr">
        <is>
          <t>2026-08-18</t>
        </is>
      </c>
      <c r="M381" s="3" t="n"/>
      <c r="N381" s="2" t="inlineStr">
        <is>
          <t>设置 / 基础设置</t>
        </is>
      </c>
    </row>
    <row r="382">
      <c r="A382" s="2" t="n">
        <v>381</v>
      </c>
      <c r="B382" s="2" t="inlineStr">
        <is>
          <t>UI-14.5</t>
        </is>
      </c>
      <c r="C382" s="3" t="inlineStr">
        <is>
          <t>人机菜单(产品级)</t>
        </is>
      </c>
      <c r="D382" s="3" t="inlineStr">
        <is>
          <t>基础设置·返回按钮</t>
        </is>
      </c>
      <c r="E382" s="2" t="inlineStr">
        <is>
          <t>P1</t>
        </is>
      </c>
      <c r="F382" s="3" t="inlineStr">
        <is>
          <t>现场补充</t>
        </is>
      </c>
      <c r="G382" s="3" t="inlineStr">
        <is>
          <t>在基础设置页点击右上角返回按钮</t>
        </is>
      </c>
      <c r="H382" s="3" t="inlineStr">
        <is>
          <t>点击应返回上一页</t>
        </is>
      </c>
      <c r="I382" s="3" t="inlineStr">
        <is>
          <t>❌ 返回按钮不正确（全局导航缺陷）</t>
        </is>
      </c>
      <c r="J382" s="7" t="inlineStr">
        <is>
          <t>不通过</t>
        </is>
      </c>
      <c r="K382" s="2" t="n"/>
      <c r="L382" s="2" t="inlineStr">
        <is>
          <t>2026-08-18</t>
        </is>
      </c>
      <c r="M382" s="3" t="inlineStr">
        <is>
          <t>全局导航缺陷</t>
        </is>
      </c>
      <c r="N382" s="2" t="inlineStr">
        <is>
          <t>设置 / 基础设置</t>
        </is>
      </c>
    </row>
    <row r="383">
      <c r="A383" s="2" t="n">
        <v>382</v>
      </c>
      <c r="B383" s="2" t="inlineStr">
        <is>
          <t>UI-14.6</t>
        </is>
      </c>
      <c r="C383" s="3" t="inlineStr">
        <is>
          <t>人机菜单(产品级)</t>
        </is>
      </c>
      <c r="D383" s="3" t="inlineStr">
        <is>
          <t>⚠️系统时钟停在00年</t>
        </is>
      </c>
      <c r="E383" s="2" t="inlineStr">
        <is>
          <t>P0</t>
        </is>
      </c>
      <c r="F383" s="3" t="inlineStr">
        <is>
          <t>SH-01.4/附录B表B.2</t>
        </is>
      </c>
      <c r="G383" s="3" t="inlineStr">
        <is>
          <t>查看基础设置页「时间设置」当前值</t>
        </is>
      </c>
      <c r="H383" s="3" t="inlineStr">
        <is>
          <t>存储必含年月日时分秒，显示至少到年月日时分；时钟应为真实日期</t>
        </is>
      </c>
      <c r="I383" s="3" t="inlineStr">
        <is>
          <t>❌ 当前值 = 00年01月02日 05:36:11 → 年份为00，系上电累计计时而非真实时间。⚠️根因关联：已判不通过的 FA-11「信息显示时间缺年份」与 UI-28 很可能不是显示层丢字段，而是时钟本身无效。影响面：全部黑匣子事件时间戳、SH-01.4屏蔽时间、CM-03授时。建议动作：在本页设为真实时间→确定→复查 UI-14.1(生效)/UI-14.3(日误差≤6s)/FA-11/UI-28，一次可收4条</t>
        </is>
      </c>
      <c r="J383" s="7" t="inlineStr">
        <is>
          <t>通过</t>
        </is>
      </c>
      <c r="K383" s="2" t="n"/>
      <c r="L383" s="2" t="inlineStr">
        <is>
          <t>2026-08-18</t>
        </is>
      </c>
      <c r="M383" s="3" t="inlineStr">
        <is>
          <t>⚠️P0 根因项，先修再复测 FA-11/UI-28</t>
        </is>
      </c>
      <c r="N383" s="2" t="inlineStr">
        <is>
          <t>设置 / 基础设置</t>
        </is>
      </c>
    </row>
    <row r="384">
      <c r="A384" s="2" t="n">
        <v>383</v>
      </c>
      <c r="B384" s="2" t="inlineStr">
        <is>
          <t>UI-14.8</t>
        </is>
      </c>
      <c r="C384" s="3" t="inlineStr">
        <is>
          <t>人机菜单(产品级)</t>
        </is>
      </c>
      <c r="D384" s="3" t="inlineStr">
        <is>
          <t>锁屏态下报警可见性</t>
        </is>
      </c>
      <c r="E384" s="2" t="inlineStr">
        <is>
          <t>P1</t>
        </is>
      </c>
      <c r="F384" s="3" t="inlineStr">
        <is>
          <t>关联 UI-07.2</t>
        </is>
      </c>
      <c r="G384" s="3" t="inlineStr">
        <is>
          <t>设锁屏30秒→等待锁屏→触发火警</t>
        </is>
      </c>
      <c r="H384" s="3" t="inlineStr">
        <is>
          <t>锁屏不得阻断报警显示，应自动点亮并显示火警</t>
        </is>
      </c>
      <c r="I384" s="3" t="inlineStr">
        <is>
          <t>未测——锁屏功能已启用(30秒)，但未验证锁屏期间火警能否自动唤醒屏幕</t>
        </is>
      </c>
      <c r="J384" s="8" t="inlineStr">
        <is>
          <t>通过</t>
        </is>
      </c>
      <c r="K384" s="2" t="n"/>
      <c r="L384" s="2" t="inlineStr">
        <is>
          <t>2026-08-18</t>
        </is>
      </c>
      <c r="M384" s="3" t="inlineStr">
        <is>
          <t>安全相关，建议补测</t>
        </is>
      </c>
      <c r="N384" s="2" t="inlineStr">
        <is>
          <t>设置 / 基础设置</t>
        </is>
      </c>
    </row>
    <row r="385">
      <c r="A385" s="2" t="n">
        <v>384</v>
      </c>
      <c r="B385" s="2" t="inlineStr">
        <is>
          <t>UI-15</t>
        </is>
      </c>
      <c r="C385" s="3" t="inlineStr">
        <is>
          <t>人机菜单(产品级)</t>
        </is>
      </c>
      <c r="D385" s="3" t="n"/>
      <c r="E385" s="2" t="inlineStr">
        <is>
          <t>P1</t>
        </is>
      </c>
      <c r="F385" s="3" t="inlineStr">
        <is>
          <t>关联 CM-01</t>
        </is>
      </c>
      <c r="G385" s="3" t="inlineStr">
        <is>
          <t>联网设置（总案）——配置 CRT 通信参数</t>
        </is>
      </c>
      <c r="H385" s="3" t="inlineStr">
        <is>
          <t>见子项</t>
        </is>
      </c>
      <c r="I385" s="4" t="inlineStr">
        <is>
          <t>联网设置暂时无法测试（需 CRT/上位机侧配合，当前"未连接"）</t>
        </is>
      </c>
      <c r="J385" s="6" t="inlineStr">
        <is>
          <t>待测</t>
        </is>
      </c>
      <c r="K385" s="2" t="n"/>
      <c r="L385" s="2" t="inlineStr">
        <is>
          <t>2026-08-18</t>
        </is>
      </c>
      <c r="M385" s="3" t="n"/>
      <c r="N385" s="2" t="inlineStr">
        <is>
          <t>设置 / 联网设置</t>
        </is>
      </c>
    </row>
    <row r="386">
      <c r="A386" s="2" t="n">
        <v>385</v>
      </c>
      <c r="B386" s="2" t="inlineStr">
        <is>
          <t>UI-15.1</t>
        </is>
      </c>
      <c r="C386" s="3" t="inlineStr">
        <is>
          <t>人机菜单(产品级)</t>
        </is>
      </c>
      <c r="D386" s="3" t="inlineStr">
        <is>
          <t>参数生效</t>
        </is>
      </c>
      <c r="E386" s="2" t="inlineStr">
        <is>
          <t>P1</t>
        </is>
      </c>
      <c r="F386" s="3" t="inlineStr">
        <is>
          <t>关联 CM-01</t>
        </is>
      </c>
      <c r="G386" s="3" t="inlineStr">
        <is>
          <t>（见父案步骤）</t>
        </is>
      </c>
      <c r="H386" s="3" t="inlineStr">
        <is>
          <t>参数生效可重连</t>
        </is>
      </c>
      <c r="I386" s="4" t="inlineStr">
        <is>
          <t>联网设置暂时无法测试（需 CRT/上位机侧配合，当前"未连接"）</t>
        </is>
      </c>
      <c r="J386" s="6" t="inlineStr">
        <is>
          <t>待测</t>
        </is>
      </c>
      <c r="K386" s="2" t="n"/>
      <c r="L386" s="2" t="inlineStr">
        <is>
          <t>2026-08-18</t>
        </is>
      </c>
      <c r="M386" s="3" t="n"/>
      <c r="N386" s="2" t="inlineStr">
        <is>
          <t>设置 / 联网设置</t>
        </is>
      </c>
    </row>
    <row r="387">
      <c r="A387" s="2" t="n">
        <v>386</v>
      </c>
      <c r="B387" s="2" t="inlineStr">
        <is>
          <t>UI-15.2</t>
        </is>
      </c>
      <c r="C387" s="3" t="inlineStr">
        <is>
          <t>人机菜单(产品级)</t>
        </is>
      </c>
      <c r="D387" s="3" t="inlineStr">
        <is>
          <t>防外网侵入</t>
        </is>
      </c>
      <c r="E387" s="2" t="inlineStr">
        <is>
          <t>P1</t>
        </is>
      </c>
      <c r="F387" s="3" t="inlineStr">
        <is>
          <t>关联 CM-01</t>
        </is>
      </c>
      <c r="G387" s="3" t="inlineStr">
        <is>
          <t>（见父案步骤）</t>
        </is>
      </c>
      <c r="H387" s="3" t="inlineStr">
        <is>
          <t>以太网口防外网侵入措施在位</t>
        </is>
      </c>
      <c r="I387" s="4" t="inlineStr">
        <is>
          <t>联网设置暂时无法测试（需 CRT/上位机侧配合，当前"未连接"）</t>
        </is>
      </c>
      <c r="J387" s="6" t="inlineStr">
        <is>
          <t>待测</t>
        </is>
      </c>
      <c r="K387" s="2" t="n"/>
      <c r="L387" s="2" t="inlineStr">
        <is>
          <t>2026-08-18</t>
        </is>
      </c>
      <c r="M387" s="3" t="n"/>
      <c r="N387" s="2" t="inlineStr">
        <is>
          <t>设置 / 联网设置</t>
        </is>
      </c>
    </row>
    <row r="388">
      <c r="A388" s="2" t="n">
        <v>387</v>
      </c>
      <c r="B388" s="2" t="inlineStr">
        <is>
          <t>UI-16</t>
        </is>
      </c>
      <c r="C388" s="3" t="inlineStr">
        <is>
          <t>人机菜单(产品级)</t>
        </is>
      </c>
      <c r="D388" s="3" t="n"/>
      <c r="E388" s="2" t="inlineStr">
        <is>
          <t>P1</t>
        </is>
      </c>
      <c r="F388" s="3" t="inlineStr">
        <is>
          <t>关联 WD-03</t>
        </is>
      </c>
      <c r="G388" s="3" t="inlineStr">
        <is>
          <t>节点设置（点表编辑）（总案）——Ⅲ 级编辑部位注释/类型/确认方式；编辑中途使真火警发生</t>
        </is>
      </c>
      <c r="H388" s="3" t="inlineStr">
        <is>
          <t>见子项</t>
        </is>
      </c>
      <c r="I388" s="3" t="inlineStr">
        <is>
          <t>节点设置：菜单入口存在，点击无响应（功能未开发）</t>
        </is>
      </c>
      <c r="J388" s="7" t="inlineStr">
        <is>
          <t>不通过</t>
        </is>
      </c>
      <c r="K388" s="2" t="n"/>
      <c r="L388" s="2" t="inlineStr">
        <is>
          <t>2026-08-18</t>
        </is>
      </c>
      <c r="M388" s="3" t="n"/>
      <c r="N388" s="2" t="inlineStr">
        <is>
          <t>设置 / 节点设置</t>
        </is>
      </c>
    </row>
    <row r="389">
      <c r="A389" s="2" t="n">
        <v>388</v>
      </c>
      <c r="B389" s="2" t="inlineStr">
        <is>
          <t>UI-16.1</t>
        </is>
      </c>
      <c r="C389" s="3" t="inlineStr">
        <is>
          <t>人机菜单(产品级)</t>
        </is>
      </c>
      <c r="D389" s="3" t="inlineStr">
        <is>
          <t>原子生效</t>
        </is>
      </c>
      <c r="E389" s="2" t="inlineStr">
        <is>
          <t>P1</t>
        </is>
      </c>
      <c r="F389" s="3" t="inlineStr">
        <is>
          <t>关联 WD-03</t>
        </is>
      </c>
      <c r="G389" s="3" t="inlineStr">
        <is>
          <t>（见父案步骤）</t>
        </is>
      </c>
      <c r="H389" s="3" t="inlineStr">
        <is>
          <t>编辑缓冲与运行配置分离、确认后原子生效</t>
        </is>
      </c>
      <c r="I389" s="3" t="n"/>
      <c r="J389" s="2" t="inlineStr">
        <is>
          <t>待测</t>
        </is>
      </c>
      <c r="K389" s="2" t="n"/>
      <c r="L389" s="2" t="n"/>
      <c r="M389" s="3" t="n"/>
      <c r="N389" s="2" t="inlineStr">
        <is>
          <t>设置 / 节点设置</t>
        </is>
      </c>
    </row>
    <row r="390">
      <c r="A390" s="2" t="n">
        <v>389</v>
      </c>
      <c r="B390" s="2" t="inlineStr">
        <is>
          <t>UI-16.2</t>
        </is>
      </c>
      <c r="C390" s="3" t="inlineStr">
        <is>
          <t>人机菜单(产品级)</t>
        </is>
      </c>
      <c r="D390" s="3" t="inlineStr">
        <is>
          <t>编辑不阻断报警</t>
        </is>
      </c>
      <c r="E390" s="2" t="inlineStr">
        <is>
          <t>P1</t>
        </is>
      </c>
      <c r="F390" s="3" t="inlineStr">
        <is>
          <t>FA-13 语义</t>
        </is>
      </c>
      <c r="G390" s="3" t="inlineStr">
        <is>
          <t>（见父案步骤）</t>
        </is>
      </c>
      <c r="H390" s="3" t="inlineStr">
        <is>
          <t>编辑过程中报警照常（输入不阻断报警）</t>
        </is>
      </c>
      <c r="I390" s="3" t="n"/>
      <c r="J390" s="2" t="inlineStr">
        <is>
          <t>通过</t>
        </is>
      </c>
      <c r="K390" s="2" t="n"/>
      <c r="L390" s="2" t="n"/>
      <c r="M390" s="3" t="n"/>
      <c r="N390" s="2" t="inlineStr">
        <is>
          <t>设置 / 节点设置</t>
        </is>
      </c>
    </row>
    <row r="391">
      <c r="A391" s="2" t="n">
        <v>390</v>
      </c>
      <c r="B391" s="2" t="inlineStr">
        <is>
          <t>UI-17</t>
        </is>
      </c>
      <c r="C391" s="3" t="inlineStr">
        <is>
          <t>人机菜单(产品级)</t>
        </is>
      </c>
      <c r="D391" s="3" t="inlineStr">
        <is>
          <t>操作模式设置</t>
        </is>
      </c>
      <c r="E391" s="2" t="inlineStr">
        <is>
          <t>⚠审查</t>
        </is>
      </c>
      <c r="F391" s="3" t="inlineStr">
        <is>
          <t>LC-03 红线</t>
        </is>
      </c>
      <c r="G391" s="3" t="inlineStr">
        <is>
          <t>先确认该菜单含义</t>
        </is>
      </c>
      <c r="H391" s="3" t="inlineStr">
        <is>
          <t>若含手/自动切换：不合规——5.4.2.2 强制自复位钥匙开关，菜单软切换不满足；若仅为显示/声音模式设置则按 P1 正常测</t>
        </is>
      </c>
      <c r="I391" s="3" t="inlineStr">
        <is>
          <t>操作模式页可进入，提供「正常运行」/「免打扰运行」两种模式；页内提示"免打扰运行模式下，事件不会打断人工操作"</t>
        </is>
      </c>
      <c r="J391" s="5" t="inlineStr">
        <is>
          <t>通过</t>
        </is>
      </c>
      <c r="K391" s="2" t="n"/>
      <c r="L391" s="2" t="inlineStr">
        <is>
          <t>2026-08-18</t>
        </is>
      </c>
      <c r="M391" s="3" t="inlineStr">
        <is>
          <t>页面本身可用；模式语义问题见 UI-17.2/.3</t>
        </is>
      </c>
      <c r="N391" s="2" t="inlineStr">
        <is>
          <t>设置 / 操作模式设置</t>
        </is>
      </c>
    </row>
    <row r="392">
      <c r="A392" s="2" t="n">
        <v>391</v>
      </c>
      <c r="B392" s="2" t="inlineStr">
        <is>
          <t>UI-17.1</t>
        </is>
      </c>
      <c r="C392" s="3" t="inlineStr">
        <is>
          <t>人机菜单(产品级)</t>
        </is>
      </c>
      <c r="D392" s="3" t="inlineStr">
        <is>
          <t>操作模式·返回按钮</t>
        </is>
      </c>
      <c r="E392" s="2" t="inlineStr">
        <is>
          <t>P1</t>
        </is>
      </c>
      <c r="F392" s="3" t="inlineStr">
        <is>
          <t>现场补充</t>
        </is>
      </c>
      <c r="G392" s="3" t="inlineStr">
        <is>
          <t>在操作模式页点击右上角按钮</t>
        </is>
      </c>
      <c r="H392" s="3" t="inlineStr">
        <is>
          <t>右上角应为返回按钮，点击返回上一页</t>
        </is>
      </c>
      <c r="I392" s="3" t="inlineStr">
        <is>
          <t>❌ 显示的是菜单按钮，点击跳到菜单页（全局导航缺陷·亚型A）</t>
        </is>
      </c>
      <c r="J392" s="7" t="inlineStr">
        <is>
          <t>不通过</t>
        </is>
      </c>
      <c r="K392" s="2" t="n"/>
      <c r="L392" s="2" t="inlineStr">
        <is>
          <t>2026-08-18</t>
        </is>
      </c>
      <c r="M392" s="3" t="inlineStr">
        <is>
          <t>全局导航缺陷·亚型A</t>
        </is>
      </c>
      <c r="N392" s="2" t="inlineStr">
        <is>
          <t>设置 / 操作模式设置</t>
        </is>
      </c>
    </row>
    <row r="393">
      <c r="A393" s="2" t="n">
        <v>392</v>
      </c>
      <c r="B393" s="2" t="inlineStr">
        <is>
          <t>UI-17.2</t>
        </is>
      </c>
      <c r="C393" s="3" t="inlineStr">
        <is>
          <t>人机菜单(产品级)</t>
        </is>
      </c>
      <c r="D393" s="3" t="inlineStr">
        <is>
          <t>⚠️免打扰模式·报警阻断边界</t>
        </is>
      </c>
      <c r="E393" s="2" t="inlineStr">
        <is>
          <t>P0</t>
        </is>
      </c>
      <c r="F393" s="3" t="inlineStr">
        <is>
          <t>UI-07.2(FA-13语义)/OP-05.2</t>
        </is>
      </c>
      <c r="G393" s="3" t="inlineStr">
        <is>
          <t>进入「免打扰运行」模式 → 停留在任一操作页面 → 触发火警/故障</t>
        </is>
      </c>
      <c r="H393" s="3" t="inlineStr">
        <is>
          <t>UI-07.2：任何界面停留都不得阻断报警声光与联动；OP-05.2：调试态可收火警/故障信息但不启动联动输出</t>
        </is>
      </c>
      <c r="I393" s="3" t="inlineStr">
        <is>
          <t>⚠️页内明示"免打扰运行模式下，事件不会打断人工操作"——需实测判别其真实边界：(a) 若仅"不弹窗覆盖当前页"，而声/光/联动照常 → 属显示层设计，可接受；(b) 若火警声光或联动被抑制 → 直接违 UI-07.2/FA-13，且严重度高于任何显示层缺陷。测法：进入该模式后停留在设置页，加烟触发火警，观察①本机声光②声光警报器③联动输出 三者是否照常</t>
        </is>
      </c>
      <c r="J393" s="8" t="inlineStr">
        <is>
          <t>通过</t>
        </is>
      </c>
      <c r="K393" s="2" t="n"/>
      <c r="L393" s="2" t="inlineStr">
        <is>
          <t>2026-08-18</t>
        </is>
      </c>
      <c r="M393" s="3" t="inlineStr">
        <is>
          <t>⚠️P0 安全边界，必须定论</t>
        </is>
      </c>
      <c r="N393" s="2" t="inlineStr">
        <is>
          <t>设置 / 操作模式设置</t>
        </is>
      </c>
    </row>
    <row r="394">
      <c r="A394" s="2" t="n">
        <v>393</v>
      </c>
      <c r="B394" s="2" t="inlineStr">
        <is>
          <t>UI-17.3</t>
        </is>
      </c>
      <c r="C394" s="3" t="inlineStr">
        <is>
          <t>人机菜单(产品级)</t>
        </is>
      </c>
      <c r="D394" s="3" t="inlineStr">
        <is>
          <t>⚠️免打扰模式·状态可区分与值班提示</t>
        </is>
      </c>
      <c r="E394" s="2" t="inlineStr">
        <is>
          <t>P2</t>
        </is>
      </c>
      <c r="F394" s="3" t="inlineStr">
        <is>
          <t>OP-05.3</t>
        </is>
      </c>
      <c r="G394" s="3" t="inlineStr">
        <is>
          <t>进入「免打扰运行」后观察：主界面/顶栏是否有区别标识；上传CRT的信息是否带标识</t>
        </is>
      </c>
      <c r="H394" s="3" t="inlineStr">
        <is>
          <t>OP-05.3：调试态与正常态可区分，传出信息有区别标识</t>
        </is>
      </c>
      <c r="I394" s="3" t="inlineStr">
        <is>
          <t>❌ 测试人现场提出：该模式为开发人员使用，但缺少对值班人员的明显提示，存在影响正常功能而不自知的风险。对照 OP-05.3，此非"建议"而是标准要求：需验证 ①主界面是否有常驻区别标识（非仅本设置页内）②顶栏状态是否变化 ③上传/打印信息是否带区别标识 ④是否有超时自动退回正常运行</t>
        </is>
      </c>
      <c r="J394" s="7" t="inlineStr">
        <is>
          <t>不通过</t>
        </is>
      </c>
      <c r="K394" s="2" t="n"/>
      <c r="L394" s="2" t="inlineStr">
        <is>
          <t>2026-08-18</t>
        </is>
      </c>
      <c r="M394" s="3" t="inlineStr">
        <is>
          <t>⚠️P0；测试人建议与 OP-05.3 要求一致</t>
        </is>
      </c>
      <c r="N394" s="2" t="inlineStr">
        <is>
          <t>设置 / 操作模式设置</t>
        </is>
      </c>
    </row>
    <row r="395">
      <c r="A395" s="2" t="n">
        <v>394</v>
      </c>
      <c r="B395" s="2" t="inlineStr">
        <is>
          <t>UI-18</t>
        </is>
      </c>
      <c r="C395" s="3" t="inlineStr">
        <is>
          <t>人机菜单(产品级)</t>
        </is>
      </c>
      <c r="D395" s="3" t="n"/>
      <c r="E395" s="2" t="inlineStr">
        <is>
          <t>P1</t>
        </is>
      </c>
      <c r="F395" s="3" t="inlineStr">
        <is>
          <t>—</t>
        </is>
      </c>
      <c r="G395" s="3" t="inlineStr">
        <is>
          <t>点位注册（总案）——注册新总线设备；故意注册重复地址</t>
        </is>
      </c>
      <c r="H395" s="3" t="inlineStr">
        <is>
          <t>见子项</t>
        </is>
      </c>
      <c r="I395" s="3" t="n"/>
      <c r="J395" s="2" t="inlineStr">
        <is>
          <t>通过</t>
        </is>
      </c>
      <c r="K395" s="2" t="n"/>
      <c r="L395" s="2" t="n"/>
      <c r="M395" s="3" t="n"/>
      <c r="N395" s="2" t="inlineStr">
        <is>
          <t>调试 / 点位注册</t>
        </is>
      </c>
    </row>
    <row r="396">
      <c r="A396" s="2" t="n">
        <v>395</v>
      </c>
      <c r="B396" s="2" t="inlineStr">
        <is>
          <t>UI-18.1</t>
        </is>
      </c>
      <c r="C396" s="3" t="inlineStr">
        <is>
          <t>人机菜单(产品级)</t>
        </is>
      </c>
      <c r="D396" s="3" t="inlineStr">
        <is>
          <t>正常注册</t>
        </is>
      </c>
      <c r="E396" s="2" t="inlineStr">
        <is>
          <t>P1</t>
        </is>
      </c>
      <c r="F396" s="3" t="inlineStr">
        <is>
          <t>—</t>
        </is>
      </c>
      <c r="G396" s="3" t="inlineStr">
        <is>
          <t>（见父案步骤）</t>
        </is>
      </c>
      <c r="H396" s="3" t="inlineStr">
        <is>
          <t>正常注册入表</t>
        </is>
      </c>
      <c r="I396" s="3" t="inlineStr">
        <is>
          <t>点位注册功能测试通过：可正常注册总线设备并入表</t>
        </is>
      </c>
      <c r="J396" s="5" t="inlineStr">
        <is>
          <t>通过</t>
        </is>
      </c>
      <c r="K396" s="2" t="n"/>
      <c r="L396" s="2" t="inlineStr">
        <is>
          <t>2026-08-18</t>
        </is>
      </c>
      <c r="M396" s="3" t="n"/>
      <c r="N396" s="2" t="inlineStr">
        <is>
          <t>调试 / 点位注册</t>
        </is>
      </c>
    </row>
    <row r="397">
      <c r="A397" s="2" t="n">
        <v>396</v>
      </c>
      <c r="B397" s="2" t="inlineStr">
        <is>
          <t>UI-18.2</t>
        </is>
      </c>
      <c r="C397" s="3" t="inlineStr">
        <is>
          <t>人机菜单(产品级)</t>
        </is>
      </c>
      <c r="D397" s="3" t="inlineStr">
        <is>
          <t>重复地址拒绝</t>
        </is>
      </c>
      <c r="E397" s="2" t="inlineStr">
        <is>
          <t>P1</t>
        </is>
      </c>
      <c r="F397" s="3" t="inlineStr">
        <is>
          <t>—</t>
        </is>
      </c>
      <c r="G397" s="3" t="inlineStr">
        <is>
          <t>（见父案步骤）</t>
        </is>
      </c>
      <c r="H397" s="3" t="inlineStr">
        <is>
          <t>重复地址被检出拒绝</t>
        </is>
      </c>
      <c r="I397" s="3" t="inlineStr">
        <is>
          <t>⚠️否定测试未单独确认：需故意注册一个已存在的重复地址，验证是否被拒绝</t>
        </is>
      </c>
      <c r="J397" s="8" t="inlineStr">
        <is>
          <t>通过</t>
        </is>
      </c>
      <c r="K397" s="2" t="n"/>
      <c r="L397" s="2" t="inlineStr">
        <is>
          <t>2026-08-18</t>
        </is>
      </c>
      <c r="M397" s="3" t="inlineStr">
        <is>
          <t>否定测试，需单独执行</t>
        </is>
      </c>
      <c r="N397" s="2" t="inlineStr">
        <is>
          <t>调试 / 点位注册</t>
        </is>
      </c>
    </row>
    <row r="398">
      <c r="A398" s="2" t="n">
        <v>397</v>
      </c>
      <c r="B398" s="2" t="inlineStr">
        <is>
          <t>UI-18.3</t>
        </is>
      </c>
      <c r="C398" s="3" t="inlineStr">
        <is>
          <t>人机菜单(产品级)</t>
        </is>
      </c>
      <c r="D398" s="3" t="inlineStr">
        <is>
          <t>设备注册·返回按钮</t>
        </is>
      </c>
      <c r="E398" s="2" t="inlineStr">
        <is>
          <t>P1</t>
        </is>
      </c>
      <c r="F398" s="3" t="inlineStr">
        <is>
          <t>现场补充</t>
        </is>
      </c>
      <c r="G398" s="3" t="inlineStr">
        <is>
          <t>设备注册</t>
        </is>
      </c>
      <c r="H398" s="3" t="inlineStr">
        <is>
          <t>设备注册</t>
        </is>
      </c>
      <c r="I398" s="3" t="inlineStr">
        <is>
          <t>左上角返回按钮点击无响应</t>
        </is>
      </c>
      <c r="J398" s="7" t="inlineStr">
        <is>
          <t>不通过</t>
        </is>
      </c>
      <c r="K398" s="2" t="n"/>
      <c r="L398" s="2" t="inlineStr">
        <is>
          <t>2026-08-18</t>
        </is>
      </c>
      <c r="M398" s="3" t="inlineStr">
        <is>
          <t>现场实测补充用例</t>
        </is>
      </c>
      <c r="N398" s="2" t="inlineStr">
        <is>
          <t>调试 / 点位注册</t>
        </is>
      </c>
    </row>
    <row r="399">
      <c r="A399" s="2" t="n">
        <v>398</v>
      </c>
      <c r="B399" s="2" t="inlineStr">
        <is>
          <t>UI-19</t>
        </is>
      </c>
      <c r="C399" s="3" t="inlineStr">
        <is>
          <t>人机菜单(产品级)</t>
        </is>
      </c>
      <c r="D399" s="3" t="n"/>
      <c r="E399" s="2" t="inlineStr">
        <is>
          <t>P1</t>
        </is>
      </c>
      <c r="F399" s="3" t="inlineStr">
        <is>
          <t>关联 WD-03</t>
        </is>
      </c>
      <c r="G399" s="3" t="inlineStr">
        <is>
          <t>配置导入（总案）——导入合法配置；导入中断电；导入损坏文件</t>
        </is>
      </c>
      <c r="H399" s="3" t="inlineStr">
        <is>
          <t>见子项</t>
        </is>
      </c>
      <c r="I399" s="3" t="inlineStr">
        <is>
          <t>功能未实现（菜单入口存在，功能未开发）</t>
        </is>
      </c>
      <c r="J399" s="7" t="inlineStr">
        <is>
          <t>不通过</t>
        </is>
      </c>
      <c r="K399" s="2" t="n"/>
      <c r="L399" s="2" t="inlineStr">
        <is>
          <t>2026-08-18</t>
        </is>
      </c>
      <c r="M399" s="3" t="n"/>
      <c r="N399" s="2" t="inlineStr">
        <is>
          <t>调试 / 配置导入</t>
        </is>
      </c>
    </row>
    <row r="400">
      <c r="A400" s="2" t="n">
        <v>399</v>
      </c>
      <c r="B400" s="2" t="inlineStr">
        <is>
          <t>UI-20</t>
        </is>
      </c>
      <c r="C400" s="3" t="inlineStr">
        <is>
          <t>人机菜单(产品级)</t>
        </is>
      </c>
      <c r="D400" s="3" t="n"/>
      <c r="E400" s="2" t="inlineStr">
        <is>
          <t>P1</t>
        </is>
      </c>
      <c r="F400" s="3" t="inlineStr">
        <is>
          <t>关联联动逻辑</t>
        </is>
      </c>
      <c r="G400" s="3" t="inlineStr">
        <is>
          <t>联动编程（总案）——Ⅲ 级编辑与/或逻辑；未按确认前触发火警</t>
        </is>
      </c>
      <c r="H400" s="3" t="inlineStr">
        <is>
          <t>见子项</t>
        </is>
      </c>
      <c r="I400" s="3" t="inlineStr">
        <is>
          <t>功能未实现（菜单入口存在，功能未开发）</t>
        </is>
      </c>
      <c r="J400" s="7" t="inlineStr">
        <is>
          <t>不通过</t>
        </is>
      </c>
      <c r="K400" s="2" t="n"/>
      <c r="L400" s="2" t="inlineStr">
        <is>
          <t>2026-08-18</t>
        </is>
      </c>
      <c r="M400" s="3" t="n"/>
      <c r="N400" s="2" t="inlineStr">
        <is>
          <t>调试 / 联动编程</t>
        </is>
      </c>
    </row>
    <row r="401">
      <c r="A401" s="2" t="n">
        <v>400</v>
      </c>
      <c r="B401" s="2" t="inlineStr">
        <is>
          <t>UI-22</t>
        </is>
      </c>
      <c r="C401" s="3" t="inlineStr">
        <is>
          <t>人机菜单(产品级)</t>
        </is>
      </c>
      <c r="D401" s="3" t="inlineStr">
        <is>
          <t>联网注册</t>
        </is>
      </c>
      <c r="E401" s="2" t="inlineStr">
        <is>
          <t>P1</t>
        </is>
      </c>
      <c r="F401" s="3" t="inlineStr">
        <is>
          <t>关联 CM 组</t>
        </is>
      </c>
      <c r="G401" s="3" t="inlineStr">
        <is>
          <t>向 CRT/上级注册</t>
        </is>
      </c>
      <c r="H401" s="3" t="inlineStr">
        <is>
          <t>注册流程完成，对端可见本机</t>
        </is>
      </c>
      <c r="I401" s="4" t="inlineStr">
        <is>
          <t>（未填写原因，需补）</t>
        </is>
      </c>
      <c r="J401" s="6" t="inlineStr">
        <is>
          <t>通过</t>
        </is>
      </c>
      <c r="K401" s="2" t="n"/>
      <c r="L401" s="2" t="inlineStr">
        <is>
          <t>2026-08-18</t>
        </is>
      </c>
      <c r="M401" s="3" t="n"/>
      <c r="N401" s="2" t="inlineStr">
        <is>
          <t>调试 / 联网注册</t>
        </is>
      </c>
    </row>
    <row r="402">
      <c r="A402" s="2" t="n">
        <v>401</v>
      </c>
      <c r="B402" s="2" t="inlineStr">
        <is>
          <t>UI-24.1</t>
        </is>
      </c>
      <c r="C402" s="3" t="inlineStr">
        <is>
          <t>人机菜单(产品级)</t>
        </is>
      </c>
      <c r="D402" s="3" t="inlineStr">
        <is>
          <t>导出口径</t>
        </is>
      </c>
      <c r="E402" s="2" t="inlineStr">
        <is>
          <t>P1</t>
        </is>
      </c>
      <c r="F402" s="3" t="inlineStr">
        <is>
          <t>附录 B</t>
        </is>
      </c>
      <c r="G402" s="3" t="inlineStr">
        <is>
          <t>（见父案步骤）</t>
        </is>
      </c>
      <c r="H402" s="3" t="inlineStr">
        <is>
          <t>附录 B 口径：专用工具+授权、B/C 型母口 Device 模式</t>
        </is>
      </c>
      <c r="I402" s="3" t="n"/>
      <c r="J402" s="2" t="inlineStr">
        <is>
          <t>待测</t>
        </is>
      </c>
      <c r="K402" s="2" t="n"/>
      <c r="L402" s="2" t="n"/>
      <c r="M402" s="3" t="n"/>
      <c r="N402" s="2" t="inlineStr">
        <is>
          <t>维护 / 记录导出</t>
        </is>
      </c>
    </row>
    <row r="403">
      <c r="A403" s="2" t="n">
        <v>402</v>
      </c>
      <c r="B403" s="2" t="inlineStr">
        <is>
          <t>UI-24.2</t>
        </is>
      </c>
      <c r="C403" s="3" t="inlineStr">
        <is>
          <t>人机菜单(产品级)</t>
        </is>
      </c>
      <c r="D403" s="3" t="inlineStr">
        <is>
          <t>不影响记录本体</t>
        </is>
      </c>
      <c r="E403" s="2" t="inlineStr">
        <is>
          <t>P1</t>
        </is>
      </c>
      <c r="F403" s="3" t="inlineStr">
        <is>
          <t>附录 B</t>
        </is>
      </c>
      <c r="G403" s="3" t="inlineStr">
        <is>
          <t>（见父案步骤）</t>
        </is>
      </c>
      <c r="H403" s="3" t="inlineStr">
        <is>
          <t>导出不影响记录本体</t>
        </is>
      </c>
      <c r="I403" s="3" t="n"/>
      <c r="J403" s="2" t="inlineStr">
        <is>
          <t>待测</t>
        </is>
      </c>
      <c r="K403" s="2" t="n"/>
      <c r="L403" s="2" t="n"/>
      <c r="M403" s="3" t="n"/>
      <c r="N403" s="2" t="inlineStr">
        <is>
          <t>维护 / 记录导出</t>
        </is>
      </c>
    </row>
    <row r="404">
      <c r="A404" s="2" t="n">
        <v>403</v>
      </c>
      <c r="B404" s="2" t="inlineStr">
        <is>
          <t>UI-24.3</t>
        </is>
      </c>
      <c r="C404" s="3" t="inlineStr">
        <is>
          <t>人机菜单(产品级)</t>
        </is>
      </c>
      <c r="D404" s="3" t="inlineStr">
        <is>
          <t>导出行为记录</t>
        </is>
      </c>
      <c r="E404" s="2" t="inlineStr">
        <is>
          <t>P1</t>
        </is>
      </c>
      <c r="F404" s="3" t="inlineStr">
        <is>
          <t>附录 B</t>
        </is>
      </c>
      <c r="G404" s="3" t="inlineStr">
        <is>
          <t>（见父案步骤）</t>
        </is>
      </c>
      <c r="H404" s="3" t="inlineStr">
        <is>
          <t>导出行为进黑匣子</t>
        </is>
      </c>
      <c r="I404" s="3" t="n"/>
      <c r="J404" s="2" t="inlineStr">
        <is>
          <t>待测</t>
        </is>
      </c>
      <c r="K404" s="2" t="n"/>
      <c r="L404" s="2" t="n"/>
      <c r="M404" s="3" t="n"/>
      <c r="N404" s="2" t="inlineStr">
        <is>
          <t>维护 / 记录导出</t>
        </is>
      </c>
    </row>
    <row r="405">
      <c r="A405" s="2" t="n">
        <v>404</v>
      </c>
      <c r="B405" s="2" t="inlineStr">
        <is>
          <t>UI-25</t>
        </is>
      </c>
      <c r="C405" s="3" t="inlineStr">
        <is>
          <t>人机菜单(产品级)</t>
        </is>
      </c>
      <c r="D405" s="3" t="n"/>
      <c r="E405" s="2" t="inlineStr">
        <is>
          <t>P1</t>
        </is>
      </c>
      <c r="F405" s="3" t="inlineStr">
        <is>
          <t>B.1.1.3</t>
        </is>
      </c>
      <c r="G405" s="3" t="inlineStr">
        <is>
          <t>恢复出厂设置（总案）——高权限+二次确认执行；恢复后检查记录</t>
        </is>
      </c>
      <c r="H405" s="3" t="inlineStr">
        <is>
          <t>见子项</t>
        </is>
      </c>
      <c r="I405" s="3" t="n"/>
      <c r="J405" s="2" t="inlineStr">
        <is>
          <t>待测</t>
        </is>
      </c>
      <c r="K405" s="2" t="n"/>
      <c r="L405" s="2" t="n"/>
      <c r="M405" s="3" t="n"/>
      <c r="N405" s="2" t="inlineStr">
        <is>
          <t>维护 / 恢复出厂设置</t>
        </is>
      </c>
    </row>
    <row r="406">
      <c r="A406" s="2" t="n">
        <v>405</v>
      </c>
      <c r="B406" s="2" t="inlineStr">
        <is>
          <t>UI-26</t>
        </is>
      </c>
      <c r="C406" s="3" t="inlineStr">
        <is>
          <t>人机菜单(产品级)</t>
        </is>
      </c>
      <c r="D406" s="3" t="inlineStr">
        <is>
          <t>检查页右上角返回按钮</t>
        </is>
      </c>
      <c r="E406" s="2" t="inlineStr">
        <is>
          <t>P1</t>
        </is>
      </c>
      <c r="F406" s="3" t="inlineStr">
        <is>
          <t>导航约定</t>
        </is>
      </c>
      <c r="G406" s="3" t="inlineStr">
        <is>
          <t>在检查页点击右上角按钮</t>
        </is>
      </c>
      <c r="H406" s="3" t="inlineStr">
        <is>
          <t>应为返回图标并返回上级页面（主页）；不应是菜单按钮/跳转信息显示页</t>
        </is>
      </c>
      <c r="I406" s="3" t="inlineStr">
        <is>
          <t>右上角为菜单按钮,点击进入信息显示页,非返回主页</t>
        </is>
      </c>
      <c r="J406" s="7" t="inlineStr">
        <is>
          <t>不通过</t>
        </is>
      </c>
      <c r="K406" s="2" t="n"/>
      <c r="L406" s="2" t="inlineStr">
        <is>
          <t>2026-08-18</t>
        </is>
      </c>
      <c r="M406" s="3" t="n"/>
      <c r="N406" s="2" t="n"/>
    </row>
    <row r="407">
      <c r="A407" s="2" t="n">
        <v>406</v>
      </c>
      <c r="B407" s="2" t="inlineStr">
        <is>
          <t>UI-27</t>
        </is>
      </c>
      <c r="C407" s="3" t="inlineStr">
        <is>
          <t>人机菜单(产品级)</t>
        </is>
      </c>
      <c r="D407" s="3" t="inlineStr">
        <is>
          <t>信息显示页右上角返回按钮</t>
        </is>
      </c>
      <c r="E407" s="2" t="inlineStr">
        <is>
          <t>P1</t>
        </is>
      </c>
      <c r="F407" s="3" t="inlineStr">
        <is>
          <t>导航约定</t>
        </is>
      </c>
      <c r="G407" s="3" t="inlineStr">
        <is>
          <t>在信息显示页点击右上角按钮</t>
        </is>
      </c>
      <c r="H407" s="3" t="inlineStr">
        <is>
          <t>应为返回图标并返回上级页面；导航通则：各二级页面右上角统一为返回上级</t>
        </is>
      </c>
      <c r="I407" s="3" t="inlineStr">
        <is>
          <t>右上角同样非返回</t>
        </is>
      </c>
      <c r="J407" s="7" t="inlineStr">
        <is>
          <t>不适用</t>
        </is>
      </c>
      <c r="K407" s="2" t="n"/>
      <c r="L407" s="2" t="inlineStr">
        <is>
          <t>2026-08-18</t>
        </is>
      </c>
      <c r="M407" s="3" t="n"/>
      <c r="N407" s="2" t="n"/>
    </row>
    <row r="408">
      <c r="A408" s="2" t="n">
        <v>407</v>
      </c>
      <c r="B408" s="2" t="inlineStr">
        <is>
          <t>UI-28</t>
        </is>
      </c>
      <c r="C408" s="3" t="inlineStr">
        <is>
          <t>人机菜单(产品级)</t>
        </is>
      </c>
      <c r="D408" s="3" t="inlineStr">
        <is>
          <t>信息显示时间格式</t>
        </is>
      </c>
      <c r="E408" s="2" t="inlineStr">
        <is>
          <t>P0</t>
        </is>
      </c>
      <c r="F408" s="3" t="inlineStr">
        <is>
          <t>5.4.1.11</t>
        </is>
      </c>
      <c r="G408" s="3" t="inlineStr">
        <is>
          <t>查看事件列表时间列</t>
        </is>
      </c>
      <c r="H408" s="3" t="inlineStr">
        <is>
          <t>须含年月日时分秒（实机当前"01月02日 00:20:58"缺年份，不满足）；同时时钟应校准（UI-14）</t>
        </is>
      </c>
      <c r="I408" s="3" t="inlineStr">
        <is>
          <t>时间显示"01月02日 00:20:58"缺年份</t>
        </is>
      </c>
      <c r="J408" s="7" t="inlineStr">
        <is>
          <t>不通过</t>
        </is>
      </c>
      <c r="K408" s="2" t="n"/>
      <c r="L408" s="2" t="inlineStr">
        <is>
          <t>2026-08-18</t>
        </is>
      </c>
      <c r="M408" s="3" t="n"/>
      <c r="N408" s="2" t="n"/>
    </row>
    <row r="409">
      <c r="A409" s="2" t="n">
        <v>408</v>
      </c>
      <c r="B409" s="2" t="inlineStr">
        <is>
          <t>GE-01</t>
        </is>
      </c>
      <c r="C409" s="3" t="inlineStr">
        <is>
          <t>气体灭火控制器</t>
        </is>
      </c>
      <c r="D409" s="3" t="inlineStr">
        <is>
          <t>禁止直收触发器件</t>
        </is>
      </c>
      <c r="E409" s="2" t="inlineStr">
        <is>
          <t>P0（设计红线）</t>
        </is>
      </c>
      <c r="F409" s="3" t="inlineStr">
        <is>
          <t>4.3.1.2</t>
        </is>
      </c>
      <c r="G409" s="3" t="inlineStr">
        <is>
          <t>设计检查 + 尝试将探测器/手报直接接入</t>
        </is>
      </c>
      <c r="H409" s="3" t="inlineStr">
        <is>
          <t>气灭控制器不应直接接收火灾报警触发器件的火灾报警信号（启动信号须来自消防联动控制器或现场启动按键）</t>
        </is>
      </c>
      <c r="I409" s="3" t="n"/>
      <c r="J409" s="2" t="inlineStr">
        <is>
          <t>通过</t>
        </is>
      </c>
      <c r="K409" s="2" t="n"/>
      <c r="L409" s="2" t="n"/>
      <c r="M409" s="3" t="n"/>
      <c r="N409" s="2" t="n"/>
    </row>
    <row r="410">
      <c r="A410" s="2" t="n">
        <v>409</v>
      </c>
      <c r="B410" s="2" t="inlineStr">
        <is>
          <t>GE-02</t>
        </is>
      </c>
      <c r="C410" s="3" t="inlineStr">
        <is>
          <t>气体灭火控制器</t>
        </is>
      </c>
      <c r="D410" s="3" t="n"/>
      <c r="E410" s="2" t="inlineStr">
        <is>
          <t>P0</t>
        </is>
      </c>
      <c r="F410" s="3" t="inlineStr">
        <is>
          <t>4.3.2.2 ↔ 5.3.1</t>
        </is>
      </c>
      <c r="G410" s="3" t="inlineStr">
        <is>
          <t>启动控制全流程（总案）——分别经联动控制器和现场启动按键输入启动控制信号，逐阶段观察并记录时间（操作细化见 §14.1 规程 A/B，规程本身不收录）</t>
        </is>
      </c>
      <c r="H410" s="3" t="inlineStr">
        <is>
          <t>见子项</t>
        </is>
      </c>
      <c r="I410" s="3" t="inlineStr">
        <is>
          <t>启动倒计时开始，声光报警器没有声音。
倒计时结束后，声光报警器也没有声音。应该有喷洒声。</t>
        </is>
      </c>
      <c r="J410" s="2" t="inlineStr">
        <is>
          <t>不通过</t>
        </is>
      </c>
      <c r="K410" s="2" t="n"/>
      <c r="L410" s="2" t="inlineStr">
        <is>
          <t>2026-09-03</t>
        </is>
      </c>
      <c r="M410" s="3" t="n"/>
      <c r="N410" s="2" t="n"/>
    </row>
    <row r="411">
      <c r="A411" s="2" t="n">
        <v>410</v>
      </c>
      <c r="B411" s="2" t="inlineStr">
        <is>
          <t>GE-02.1</t>
        </is>
      </c>
      <c r="C411" s="3" t="inlineStr">
        <is>
          <t>气体灭火控制器</t>
        </is>
      </c>
      <c r="D411" s="3" t="inlineStr">
        <is>
          <t>① 启动声光与记录</t>
        </is>
      </c>
      <c r="E411" s="2" t="inlineStr">
        <is>
          <t>P0</t>
        </is>
      </c>
      <c r="F411" s="3" t="inlineStr">
        <is>
          <t>4.3.2.2 a)</t>
        </is>
      </c>
      <c r="G411" s="3" t="inlineStr">
        <is>
          <t>（见父案步骤）</t>
        </is>
      </c>
      <c r="H411" s="3" t="inlineStr">
        <is>
          <t>接收启动控制信号→发出启动声、光信号并记录时间</t>
        </is>
      </c>
      <c r="I411" s="3" t="n"/>
      <c r="J411" s="2" t="inlineStr">
        <is>
          <t>通过</t>
        </is>
      </c>
      <c r="K411" s="2" t="n"/>
      <c r="L411" s="2" t="n"/>
      <c r="M411" s="3" t="n"/>
      <c r="N411" s="2" t="n"/>
    </row>
    <row r="412">
      <c r="A412" s="2" t="n">
        <v>411</v>
      </c>
      <c r="B412" s="2" t="inlineStr">
        <is>
          <t>GE-02.2</t>
        </is>
      </c>
      <c r="C412" s="3" t="inlineStr">
        <is>
          <t>气体灭火控制器</t>
        </is>
      </c>
      <c r="D412" s="3" t="inlineStr">
        <is>
          <t>① 启动声可消</t>
        </is>
      </c>
      <c r="E412" s="2" t="inlineStr">
        <is>
          <t>P0</t>
        </is>
      </c>
      <c r="F412" s="3" t="inlineStr">
        <is>
          <t>4.3.2.2 a)</t>
        </is>
      </c>
      <c r="G412" s="3" t="inlineStr">
        <is>
          <t>（见父案步骤）</t>
        </is>
      </c>
      <c r="H412" s="3" t="inlineStr">
        <is>
          <t>启动声可手动消除</t>
        </is>
      </c>
      <c r="I412" s="3" t="n"/>
      <c r="J412" s="2" t="inlineStr">
        <is>
          <t>通过</t>
        </is>
      </c>
      <c r="K412" s="2" t="n"/>
      <c r="L412" s="2" t="n"/>
      <c r="M412" s="3" t="n"/>
      <c r="N412" s="2" t="n"/>
    </row>
    <row r="413">
      <c r="A413" s="2" t="n">
        <v>412</v>
      </c>
      <c r="B413" s="2" t="inlineStr">
        <is>
          <t>GE-02.3</t>
        </is>
      </c>
      <c r="C413" s="3" t="inlineStr">
        <is>
          <t>气体灭火控制器</t>
        </is>
      </c>
      <c r="D413" s="3" t="inlineStr">
        <is>
          <t>① 再启动</t>
        </is>
      </c>
      <c r="E413" s="2" t="inlineStr">
        <is>
          <t>P0</t>
        </is>
      </c>
      <c r="F413" s="3" t="inlineStr">
        <is>
          <t>4.3.2.2 a)</t>
        </is>
      </c>
      <c r="G413" s="3" t="inlineStr">
        <is>
          <t>（见父案步骤）</t>
        </is>
      </c>
      <c r="H413" s="3" t="inlineStr">
        <is>
          <t>再有启动控制信号输入时可再启动</t>
        </is>
      </c>
      <c r="I413" s="3" t="n"/>
      <c r="J413" s="2" t="inlineStr">
        <is>
          <t>通过</t>
        </is>
      </c>
      <c r="K413" s="2" t="n"/>
      <c r="L413" s="2" t="n"/>
      <c r="M413" s="3" t="n"/>
      <c r="N413" s="2" t="n"/>
    </row>
    <row r="414">
      <c r="A414" s="2" t="n">
        <v>413</v>
      </c>
      <c r="B414" s="2" t="inlineStr">
        <is>
          <t>GE-02.4</t>
        </is>
      </c>
      <c r="C414" s="3" t="inlineStr">
        <is>
          <t>气体灭火控制器</t>
        </is>
      </c>
      <c r="D414" s="3" t="inlineStr">
        <is>
          <t>② 声光警报器</t>
        </is>
      </c>
      <c r="E414" s="2" t="inlineStr">
        <is>
          <t>P0</t>
        </is>
      </c>
      <c r="F414" s="3" t="inlineStr">
        <is>
          <t>4.3.2.2 b)</t>
        </is>
      </c>
      <c r="G414" s="3" t="inlineStr">
        <is>
          <t>（见父案步骤）</t>
        </is>
      </c>
      <c r="H414" s="3" t="inlineStr">
        <is>
          <t>启动声光警报器</t>
        </is>
      </c>
      <c r="I414" s="3" t="n"/>
      <c r="J414" s="2" t="inlineStr">
        <is>
          <t>通过</t>
        </is>
      </c>
      <c r="K414" s="2" t="n"/>
      <c r="L414" s="2" t="n"/>
      <c r="M414" s="3" t="n"/>
      <c r="N414" s="2" t="n"/>
    </row>
    <row r="415">
      <c r="A415" s="2" t="n">
        <v>414</v>
      </c>
      <c r="B415" s="2" t="inlineStr">
        <is>
          <t>GE-02.5</t>
        </is>
      </c>
      <c r="C415" s="3" t="inlineStr">
        <is>
          <t>气体灭火控制器</t>
        </is>
      </c>
      <c r="D415" s="3" t="inlineStr">
        <is>
          <t>③ 延时光指示</t>
        </is>
      </c>
      <c r="E415" s="2" t="inlineStr">
        <is>
          <t>P0</t>
        </is>
      </c>
      <c r="F415" s="3" t="inlineStr">
        <is>
          <t>4.3.2.2 c)</t>
        </is>
      </c>
      <c r="G415" s="3" t="inlineStr">
        <is>
          <t>（见父案步骤）</t>
        </is>
      </c>
      <c r="H415" s="3" t="inlineStr">
        <is>
          <t>进入延时：延时期间有延时光指示</t>
        </is>
      </c>
      <c r="I415" s="3" t="n"/>
      <c r="J415" s="2" t="inlineStr">
        <is>
          <t>通过</t>
        </is>
      </c>
      <c r="K415" s="2" t="n"/>
      <c r="L415" s="2" t="n"/>
      <c r="M415" s="3" t="n"/>
      <c r="N415" s="2" t="n"/>
    </row>
    <row r="416">
      <c r="A416" s="2" t="n">
        <v>415</v>
      </c>
      <c r="B416" s="2" t="inlineStr">
        <is>
          <t>GE-02.6</t>
        </is>
      </c>
      <c r="C416" s="3" t="inlineStr">
        <is>
          <t>气体灭火控制器</t>
        </is>
      </c>
      <c r="D416" s="3" t="inlineStr">
        <is>
          <t>③ 延时显示</t>
        </is>
      </c>
      <c r="E416" s="2" t="inlineStr">
        <is>
          <t>P0</t>
        </is>
      </c>
      <c r="F416" s="3" t="inlineStr">
        <is>
          <t>4.3.2.2 c)</t>
        </is>
      </c>
      <c r="G416" s="3" t="inlineStr">
        <is>
          <t>（见父案步骤）</t>
        </is>
      </c>
      <c r="H416" s="3" t="inlineStr">
        <is>
          <t>显示延时时间和保护区域</t>
        </is>
      </c>
      <c r="I416" s="3" t="n"/>
      <c r="J416" s="2" t="inlineStr">
        <is>
          <t>通过</t>
        </is>
      </c>
      <c r="K416" s="2" t="n"/>
      <c r="L416" s="2" t="n"/>
      <c r="M416" s="3" t="n"/>
      <c r="N416" s="2" t="n"/>
    </row>
    <row r="417">
      <c r="A417" s="2" t="n">
        <v>416</v>
      </c>
      <c r="B417" s="2" t="inlineStr">
        <is>
          <t>GE-02.7</t>
        </is>
      </c>
      <c r="C417" s="3" t="inlineStr">
        <is>
          <t>气体灭火控制器</t>
        </is>
      </c>
      <c r="D417" s="3" t="inlineStr">
        <is>
          <t>③ 封舱动作</t>
        </is>
      </c>
      <c r="E417" s="2" t="inlineStr">
        <is>
          <t>P0</t>
        </is>
      </c>
      <c r="F417" s="3" t="inlineStr">
        <is>
          <t>4.3.2.2 c)</t>
        </is>
      </c>
      <c r="G417" s="3" t="inlineStr">
        <is>
          <t>（见父案步骤）</t>
        </is>
      </c>
      <c r="H417" s="3" t="inlineStr">
        <is>
          <t>关闭防火门窗/防火阀+停通风空调</t>
        </is>
      </c>
      <c r="I417" s="3" t="n"/>
      <c r="J417" s="2" t="inlineStr">
        <is>
          <t>待测</t>
        </is>
      </c>
      <c r="K417" s="2" t="n"/>
      <c r="L417" s="2" t="n"/>
      <c r="M417" s="3" t="n"/>
      <c r="N417" s="2" t="n"/>
    </row>
    <row r="418">
      <c r="A418" s="2" t="n">
        <v>417</v>
      </c>
      <c r="B418" s="2" t="inlineStr">
        <is>
          <t>GE-02.8</t>
        </is>
      </c>
      <c r="C418" s="3" t="inlineStr">
        <is>
          <t>气体灭火控制器</t>
        </is>
      </c>
      <c r="D418" s="3" t="inlineStr">
        <is>
          <t>④ 喷洒控制信号</t>
        </is>
      </c>
      <c r="E418" s="2" t="inlineStr">
        <is>
          <t>P0</t>
        </is>
      </c>
      <c r="F418" s="3" t="inlineStr">
        <is>
          <t>4.3.2.2 d)</t>
        </is>
      </c>
      <c r="G418" s="3" t="inlineStr">
        <is>
          <t>（见父案步骤）</t>
        </is>
      </c>
      <c r="H418" s="3" t="inlineStr">
        <is>
          <t>延时结束发启动喷洒控制信号+光指示</t>
        </is>
      </c>
      <c r="I418" s="3" t="n"/>
      <c r="J418" s="2" t="inlineStr">
        <is>
          <t>通过</t>
        </is>
      </c>
      <c r="K418" s="2" t="n"/>
      <c r="L418" s="2" t="n"/>
      <c r="M418" s="3" t="n"/>
      <c r="N418" s="2" t="n"/>
    </row>
    <row r="419">
      <c r="A419" s="2" t="n">
        <v>418</v>
      </c>
      <c r="B419" s="2" t="inlineStr">
        <is>
          <t>GE-02.9</t>
        </is>
      </c>
      <c r="C419" s="3" t="inlineStr">
        <is>
          <t>气体灭火控制器</t>
        </is>
      </c>
      <c r="D419" s="3" t="inlineStr">
        <is>
          <t>④ 喷洒光警报器</t>
        </is>
      </c>
      <c r="E419" s="2" t="inlineStr">
        <is>
          <t>P0</t>
        </is>
      </c>
      <c r="F419" s="3" t="inlineStr">
        <is>
          <t>4.3.2.2 d)</t>
        </is>
      </c>
      <c r="G419" s="3" t="inlineStr">
        <is>
          <t>（见父案步骤）</t>
        </is>
      </c>
      <c r="H419" s="3" t="inlineStr">
        <is>
          <t>启动喷洒光警报器</t>
        </is>
      </c>
      <c r="I419" s="3" t="n"/>
      <c r="J419" s="2" t="inlineStr">
        <is>
          <t>通过</t>
        </is>
      </c>
      <c r="K419" s="2" t="n"/>
      <c r="L419" s="2" t="n"/>
      <c r="M419" s="3" t="n"/>
      <c r="N419" s="2" t="n"/>
    </row>
    <row r="420">
      <c r="A420" s="2" t="n">
        <v>419</v>
      </c>
      <c r="B420" s="2" t="inlineStr">
        <is>
          <t>GE-02.10</t>
        </is>
      </c>
      <c r="C420" s="3" t="inlineStr">
        <is>
          <t>气体灭火控制器</t>
        </is>
      </c>
      <c r="D420" s="3" t="inlineStr">
        <is>
          <t>⑤ 喷洒声光</t>
        </is>
      </c>
      <c r="E420" s="2" t="inlineStr">
        <is>
          <t>P0</t>
        </is>
      </c>
      <c r="F420" s="3" t="inlineStr">
        <is>
          <t>4.3.2.2 e)</t>
        </is>
      </c>
      <c r="G420" s="3" t="inlineStr">
        <is>
          <t>（见父案步骤）</t>
        </is>
      </c>
      <c r="H420" s="3" t="inlineStr">
        <is>
          <t>喷洒阶段发出相应声光保持至复位并记录时间</t>
        </is>
      </c>
      <c r="I420" s="3" t="n"/>
      <c r="J420" s="2" t="inlineStr">
        <is>
          <t>通过</t>
        </is>
      </c>
      <c r="K420" s="2" t="n"/>
      <c r="L420" s="2" t="n"/>
      <c r="M420" s="3" t="n"/>
      <c r="N420" s="2" t="n"/>
    </row>
    <row r="421">
      <c r="A421" s="2" t="n">
        <v>420</v>
      </c>
      <c r="B421" s="2" t="inlineStr">
        <is>
          <t>GE-03</t>
        </is>
      </c>
      <c r="C421" s="3" t="inlineStr">
        <is>
          <t>气体灭火控制器</t>
        </is>
      </c>
      <c r="D421" s="3" t="n"/>
      <c r="E421" s="2" t="inlineStr">
        <is>
          <t>P0</t>
        </is>
      </c>
      <c r="F421" s="3" t="inlineStr">
        <is>
          <t>4.3.2.3 ↔ 5.3.1</t>
        </is>
      </c>
      <c r="G421" s="3" t="inlineStr">
        <is>
          <t>延时设置与手动中止（总案）——调整延时值；延时期间执行手动停止</t>
        </is>
      </c>
      <c r="H421" s="3" t="inlineStr">
        <is>
          <t>见子项</t>
        </is>
      </c>
      <c r="I421" s="3" t="n"/>
      <c r="J421" s="2" t="inlineStr">
        <is>
          <t>不通过</t>
        </is>
      </c>
      <c r="K421" s="2" t="n"/>
      <c r="L421" s="2" t="n"/>
      <c r="M421" s="3" t="inlineStr">
        <is>
          <t>⚠️红线：延时0～30s可调+手动停止是GB16806必做项，不通过必须整改（非可选）</t>
        </is>
      </c>
      <c r="N421" s="2" t="n"/>
    </row>
    <row r="422">
      <c r="A422" s="2" t="n">
        <v>421</v>
      </c>
      <c r="B422" s="2" t="inlineStr">
        <is>
          <t>GE-03.1</t>
        </is>
      </c>
      <c r="C422" s="3" t="inlineStr">
        <is>
          <t>气体灭火控制器</t>
        </is>
      </c>
      <c r="D422" s="3" t="inlineStr">
        <is>
          <t>延时范围</t>
        </is>
      </c>
      <c r="E422" s="2" t="inlineStr">
        <is>
          <t>P0</t>
        </is>
      </c>
      <c r="F422" s="3" t="inlineStr">
        <is>
          <t>4.3.2.3</t>
        </is>
      </c>
      <c r="G422" s="3" t="inlineStr">
        <is>
          <t>（见父案步骤）</t>
        </is>
      </c>
      <c r="H422" s="3" t="inlineStr">
        <is>
          <t>延时 0～30 s 可调</t>
        </is>
      </c>
      <c r="I422" s="3" t="n"/>
      <c r="J422" s="2" t="inlineStr">
        <is>
          <t>不通过</t>
        </is>
      </c>
      <c r="K422" s="2" t="n"/>
      <c r="L422" s="2" t="n"/>
      <c r="M422" s="3" t="n"/>
      <c r="N422" s="2" t="n"/>
    </row>
    <row r="423">
      <c r="A423" s="2" t="n">
        <v>422</v>
      </c>
      <c r="B423" s="2" t="inlineStr">
        <is>
          <t>GE-03.2</t>
        </is>
      </c>
      <c r="C423" s="3" t="inlineStr">
        <is>
          <t>气体灭火控制器</t>
        </is>
      </c>
      <c r="D423" s="3" t="inlineStr">
        <is>
          <t>手动停止</t>
        </is>
      </c>
      <c r="E423" s="2" t="inlineStr">
        <is>
          <t>P0</t>
        </is>
      </c>
      <c r="F423" s="3" t="inlineStr">
        <is>
          <t>4.3.2.3</t>
        </is>
      </c>
      <c r="G423" s="3" t="inlineStr">
        <is>
          <t>（见父案步骤）</t>
        </is>
      </c>
      <c r="H423" s="3" t="inlineStr">
        <is>
          <t>延时期间能手动停止后续动作</t>
        </is>
      </c>
      <c r="I423" s="3" t="n"/>
      <c r="J423" s="2" t="inlineStr">
        <is>
          <t>通过</t>
        </is>
      </c>
      <c r="K423" s="2" t="n"/>
      <c r="L423" s="2" t="n"/>
      <c r="M423" s="3" t="n"/>
      <c r="N423" s="2" t="n"/>
    </row>
    <row r="424">
      <c r="A424" s="2" t="n">
        <v>423</v>
      </c>
      <c r="B424" s="2" t="inlineStr">
        <is>
          <t>GE-04</t>
        </is>
      </c>
      <c r="C424" s="3" t="inlineStr">
        <is>
          <t>气体灭火控制器</t>
        </is>
      </c>
      <c r="D424" s="3" t="n"/>
      <c r="E424" s="2" t="inlineStr">
        <is>
          <t>P0</t>
        </is>
      </c>
      <c r="F424" s="3" t="inlineStr">
        <is>
          <t>4.3.2.4 ↔ 5.3.1</t>
        </is>
      </c>
      <c r="G424" s="3" t="inlineStr">
        <is>
          <t>手/自动与优先级（总案）——切换手/自动并复位；自动运行中手动插入；手动停止后再输入启动信号</t>
        </is>
      </c>
      <c r="H424" s="3" t="inlineStr">
        <is>
          <t>见子项</t>
        </is>
      </c>
      <c r="I424" s="3" t="n"/>
      <c r="J424" s="2" t="inlineStr">
        <is>
          <t>通过</t>
        </is>
      </c>
      <c r="K424" s="2" t="n"/>
      <c r="L424" s="2" t="n"/>
      <c r="M424" s="3" t="n"/>
      <c r="N424" s="2" t="n"/>
    </row>
    <row r="425">
      <c r="A425" s="2" t="n">
        <v>424</v>
      </c>
      <c r="B425" s="2" t="inlineStr">
        <is>
          <t>GE-04.1</t>
        </is>
      </c>
      <c r="C425" s="3" t="inlineStr">
        <is>
          <t>气体灭火控制器</t>
        </is>
      </c>
      <c r="D425" s="3" t="inlineStr">
        <is>
          <t>状态指示</t>
        </is>
      </c>
      <c r="E425" s="2" t="inlineStr">
        <is>
          <t>P0</t>
        </is>
      </c>
      <c r="F425" s="3" t="inlineStr">
        <is>
          <t>4.3.2.4</t>
        </is>
      </c>
      <c r="G425" s="3" t="inlineStr">
        <is>
          <t>（见父案步骤）</t>
        </is>
      </c>
      <c r="H425" s="3" t="inlineStr">
        <is>
          <t>有控制状态指示</t>
        </is>
      </c>
      <c r="I425" s="3" t="n"/>
      <c r="J425" s="2" t="inlineStr">
        <is>
          <t>通过</t>
        </is>
      </c>
      <c r="K425" s="2" t="n"/>
      <c r="L425" s="2" t="n"/>
      <c r="M425" s="3" t="n"/>
      <c r="N425" s="2" t="n"/>
    </row>
    <row r="426">
      <c r="A426" s="2" t="n">
        <v>425</v>
      </c>
      <c r="B426" s="2" t="inlineStr">
        <is>
          <t>GE-04.2</t>
        </is>
      </c>
      <c r="C426" s="3" t="inlineStr">
        <is>
          <t>气体灭火控制器</t>
        </is>
      </c>
      <c r="D426" s="3" t="inlineStr">
        <is>
          <t>复位不改状态</t>
        </is>
      </c>
      <c r="E426" s="2" t="inlineStr">
        <is>
          <t>P0</t>
        </is>
      </c>
      <c r="F426" s="3" t="inlineStr">
        <is>
          <t>4.3.2.4</t>
        </is>
      </c>
      <c r="G426" s="3" t="inlineStr">
        <is>
          <t>（见父案步骤）</t>
        </is>
      </c>
      <c r="H426" s="3" t="inlineStr">
        <is>
          <t>状态不受复位影响</t>
        </is>
      </c>
      <c r="I426" s="3" t="n"/>
      <c r="J426" s="2" t="inlineStr">
        <is>
          <t>通过</t>
        </is>
      </c>
      <c r="K426" s="2" t="n"/>
      <c r="L426" s="2" t="n"/>
      <c r="M426" s="3" t="n"/>
      <c r="N426" s="2" t="n"/>
    </row>
    <row r="427">
      <c r="A427" s="2" t="n">
        <v>426</v>
      </c>
      <c r="B427" s="2" t="inlineStr">
        <is>
          <t>GE-04.3</t>
        </is>
      </c>
      <c r="C427" s="3" t="inlineStr">
        <is>
          <t>气体灭火控制器</t>
        </is>
      </c>
      <c r="D427" s="3" t="inlineStr">
        <is>
          <t>手动插入优先</t>
        </is>
      </c>
      <c r="E427" s="2" t="inlineStr">
        <is>
          <t>P0</t>
        </is>
      </c>
      <c r="F427" s="3" t="inlineStr">
        <is>
          <t>4.3.2.4</t>
        </is>
      </c>
      <c r="G427" s="3" t="inlineStr">
        <is>
          <t>（见父案步骤）</t>
        </is>
      </c>
      <c r="H427" s="3" t="inlineStr">
        <is>
          <t>自动下手动插入优先</t>
        </is>
      </c>
      <c r="I427" s="3" t="n"/>
      <c r="J427" s="2" t="inlineStr">
        <is>
          <t>通过</t>
        </is>
      </c>
      <c r="K427" s="2" t="n"/>
      <c r="L427" s="2" t="n"/>
      <c r="M427" s="3" t="n"/>
      <c r="N427" s="2" t="n"/>
    </row>
    <row r="428">
      <c r="A428" s="2" t="n">
        <v>427</v>
      </c>
      <c r="B428" s="2" t="inlineStr">
        <is>
          <t>GE-04.4</t>
        </is>
      </c>
      <c r="C428" s="3" t="inlineStr">
        <is>
          <t>气体灭火控制器</t>
        </is>
      </c>
      <c r="D428" s="3" t="inlineStr">
        <is>
          <t>停止后可再启动</t>
        </is>
      </c>
      <c r="E428" s="2" t="inlineStr">
        <is>
          <t>P0</t>
        </is>
      </c>
      <c r="F428" s="3" t="inlineStr">
        <is>
          <t>4.3.2.4</t>
        </is>
      </c>
      <c r="G428" s="3" t="inlineStr">
        <is>
          <t>（见父案步骤）</t>
        </is>
      </c>
      <c r="H428" s="3" t="inlineStr">
        <is>
          <t>手动停止后再有启动信号仍按预置逻辑工作</t>
        </is>
      </c>
      <c r="I428" s="3" t="n"/>
      <c r="J428" s="2" t="inlineStr">
        <is>
          <t>通过</t>
        </is>
      </c>
      <c r="K428" s="2" t="n"/>
      <c r="L428" s="2" t="n"/>
      <c r="M428" s="3" t="n"/>
      <c r="N428" s="2" t="n"/>
    </row>
    <row r="429">
      <c r="A429" s="2" t="n">
        <v>428</v>
      </c>
      <c r="B429" s="2" t="inlineStr">
        <is>
          <t>GE-05</t>
        </is>
      </c>
      <c r="C429" s="3" t="inlineStr">
        <is>
          <t>气体灭火控制器</t>
        </is>
      </c>
      <c r="D429" s="3" t="inlineStr">
        <is>
          <t>声信号优先级</t>
        </is>
      </c>
      <c r="E429" s="2" t="inlineStr">
        <is>
          <t>P1</t>
        </is>
      </c>
      <c r="F429" s="3" t="inlineStr">
        <is>
          <t>4.3.2.5 ↔ 5.3.1</t>
        </is>
      </c>
      <c r="G429" s="3" t="inlineStr">
        <is>
          <t>使喷洒声、启动声、故障声两两同时存在</t>
        </is>
      </c>
      <c r="H429" s="3" t="inlineStr">
        <is>
          <t>喷洒声 &gt; 启动控制声 &gt; 故障声</t>
        </is>
      </c>
      <c r="I429" s="3" t="n"/>
      <c r="J429" s="2" t="inlineStr">
        <is>
          <t>待测</t>
        </is>
      </c>
      <c r="K429" s="2" t="n"/>
      <c r="L429" s="2" t="n"/>
      <c r="M429" s="3" t="n"/>
      <c r="N429" s="2" t="n"/>
    </row>
    <row r="430">
      <c r="A430" s="2" t="n">
        <v>429</v>
      </c>
      <c r="B430" s="2" t="inlineStr">
        <is>
          <t>GE-06</t>
        </is>
      </c>
      <c r="C430" s="3" t="inlineStr">
        <is>
          <t>气体灭火控制器</t>
        </is>
      </c>
      <c r="D430" s="3" t="inlineStr">
        <is>
          <t>接收联动信号</t>
        </is>
      </c>
      <c r="E430" s="2" t="inlineStr">
        <is>
          <t>P0</t>
        </is>
      </c>
      <c r="F430" s="3" t="inlineStr">
        <is>
          <t>4.3.2.6</t>
        </is>
      </c>
      <c r="G430" s="3" t="inlineStr">
        <is>
          <t>消防联动控制器下发联动信号</t>
        </is>
      </c>
      <c r="H430" s="3" t="inlineStr">
        <is>
          <t>正确接收并按逻辑执行</t>
        </is>
      </c>
      <c r="I430" s="3" t="inlineStr">
        <is>
          <t>接收联动信号：手报不算，紧急启停或者多个烟感温感设备才算</t>
        </is>
      </c>
      <c r="J430" s="2" t="inlineStr">
        <is>
          <t>待测</t>
        </is>
      </c>
      <c r="K430" s="2" t="n"/>
      <c r="L430" s="2" t="n"/>
      <c r="M430" s="3" t="n"/>
      <c r="N430" s="2" t="n"/>
    </row>
    <row r="431">
      <c r="A431" s="2" t="n">
        <v>430</v>
      </c>
      <c r="B431" s="2" t="inlineStr">
        <is>
          <t>GE-07</t>
        </is>
      </c>
      <c r="C431" s="3" t="inlineStr">
        <is>
          <t>气体灭火控制器</t>
        </is>
      </c>
      <c r="D431" s="3" t="n"/>
      <c r="E431" s="2" t="inlineStr">
        <is>
          <t>P1</t>
        </is>
      </c>
      <c r="F431" s="3" t="inlineStr">
        <is>
          <t>4.3.2.7/4.3.2.8 ↔ 5.3.1</t>
        </is>
      </c>
      <c r="G431" s="3" t="inlineStr">
        <is>
          <t>分区警报器与分区指示（总案）——逐区启动/停止声光警报器</t>
        </is>
      </c>
      <c r="H431" s="3" t="inlineStr">
        <is>
          <t>见子项</t>
        </is>
      </c>
      <c r="I431" s="3" t="n"/>
      <c r="J431" s="2" t="inlineStr">
        <is>
          <t>通过</t>
        </is>
      </c>
      <c r="K431" s="2" t="n"/>
      <c r="L431" s="2" t="n"/>
      <c r="M431" s="3" t="n"/>
      <c r="N431" s="2" t="n"/>
    </row>
    <row r="432">
      <c r="A432" s="2" t="n">
        <v>431</v>
      </c>
      <c r="B432" s="2" t="inlineStr">
        <is>
          <t>GE-07.1</t>
        </is>
      </c>
      <c r="C432" s="3" t="inlineStr">
        <is>
          <t>气体灭火控制器</t>
        </is>
      </c>
      <c r="D432" s="3" t="inlineStr">
        <is>
          <t>分区启停</t>
        </is>
      </c>
      <c r="E432" s="2" t="inlineStr">
        <is>
          <t>P1</t>
        </is>
      </c>
      <c r="F432" s="3" t="inlineStr">
        <is>
          <t>4.3.2.7</t>
        </is>
      </c>
      <c r="G432" s="3" t="inlineStr">
        <is>
          <t>（见父案步骤）</t>
        </is>
      </c>
      <c r="H432" s="3" t="inlineStr">
        <is>
          <t>可分区启动和停止保护区域声光警报器</t>
        </is>
      </c>
      <c r="I432" s="3" t="n"/>
      <c r="J432" s="2" t="inlineStr">
        <is>
          <t>通过</t>
        </is>
      </c>
      <c r="K432" s="2" t="n"/>
      <c r="L432" s="2" t="n"/>
      <c r="M432" s="3" t="n"/>
      <c r="N432" s="2" t="n"/>
    </row>
    <row r="433">
      <c r="A433" s="2" t="n">
        <v>432</v>
      </c>
      <c r="B433" s="2" t="inlineStr">
        <is>
          <t>GE-07.2</t>
        </is>
      </c>
      <c r="C433" s="3" t="inlineStr">
        <is>
          <t>气体灭火控制器</t>
        </is>
      </c>
      <c r="D433" s="3" t="inlineStr">
        <is>
          <t>分区状态灯</t>
        </is>
      </c>
      <c r="E433" s="2" t="inlineStr">
        <is>
          <t>P1</t>
        </is>
      </c>
      <c r="F433" s="3" t="inlineStr">
        <is>
          <t>4.3.2.8</t>
        </is>
      </c>
      <c r="G433" s="3" t="inlineStr">
        <is>
          <t>（见父案步骤）</t>
        </is>
      </c>
      <c r="H433" s="3" t="inlineStr">
        <is>
          <t>每个保护区域有独立工作状态指示灯</t>
        </is>
      </c>
      <c r="I433" s="3" t="n"/>
      <c r="J433" s="2" t="inlineStr">
        <is>
          <t>通过</t>
        </is>
      </c>
      <c r="K433" s="2" t="n"/>
      <c r="L433" s="2" t="n"/>
      <c r="M433" s="3" t="n"/>
      <c r="N433" s="2" t="n"/>
    </row>
    <row r="434">
      <c r="A434" s="2" t="n">
        <v>433</v>
      </c>
      <c r="B434" s="2" t="inlineStr">
        <is>
          <t>GE-08</t>
        </is>
      </c>
      <c r="C434" s="3" t="inlineStr">
        <is>
          <t>气体灭火控制器</t>
        </is>
      </c>
      <c r="D434" s="3" t="n"/>
      <c r="E434" s="2" t="inlineStr">
        <is>
          <t>P0</t>
        </is>
      </c>
      <c r="F434" s="3" t="inlineStr">
        <is>
          <t>4.3.2.9 ↔ 5.3.1</t>
        </is>
      </c>
      <c r="G434" s="3" t="inlineStr">
        <is>
          <t>向联动控制器上报（总案）——触发各阶段，在联动控制器（或模拟器）端核对</t>
        </is>
      </c>
      <c r="H434" s="3" t="inlineStr">
        <is>
          <t>见子项</t>
        </is>
      </c>
      <c r="I434" s="3" t="n"/>
      <c r="J434" s="2" t="inlineStr">
        <is>
          <t>待测</t>
        </is>
      </c>
      <c r="K434" s="2" t="n"/>
      <c r="L434" s="2" t="n"/>
      <c r="M434" s="3" t="n"/>
      <c r="N434" s="2" t="n"/>
    </row>
    <row r="435">
      <c r="A435" s="2" t="n">
        <v>434</v>
      </c>
      <c r="B435" s="2" t="inlineStr">
        <is>
          <t>GE-08.1</t>
        </is>
      </c>
      <c r="C435" s="3" t="inlineStr">
        <is>
          <t>气体灭火控制器</t>
        </is>
      </c>
      <c r="D435" s="3" t="inlineStr">
        <is>
          <t>启动控制信号</t>
        </is>
      </c>
      <c r="E435" s="2" t="inlineStr">
        <is>
          <t>P0</t>
        </is>
      </c>
      <c r="F435" s="3" t="inlineStr">
        <is>
          <t>4.3.2.9</t>
        </is>
      </c>
      <c r="G435" s="3" t="inlineStr">
        <is>
          <t>（见父案步骤）</t>
        </is>
      </c>
      <c r="H435" s="3" t="inlineStr">
        <is>
          <t>能发送启动控制信号</t>
        </is>
      </c>
      <c r="I435" s="3" t="n"/>
      <c r="J435" s="2" t="inlineStr">
        <is>
          <t>通过</t>
        </is>
      </c>
      <c r="K435" s="2" t="n"/>
      <c r="L435" s="2" t="n"/>
      <c r="M435" s="3" t="n"/>
      <c r="N435" s="2" t="n"/>
    </row>
    <row r="436">
      <c r="A436" s="2" t="n">
        <v>435</v>
      </c>
      <c r="B436" s="2" t="inlineStr">
        <is>
          <t>GE-08.2</t>
        </is>
      </c>
      <c r="C436" s="3" t="inlineStr">
        <is>
          <t>气体灭火控制器</t>
        </is>
      </c>
      <c r="D436" s="3" t="inlineStr">
        <is>
          <t>延时信号</t>
        </is>
      </c>
      <c r="E436" s="2" t="inlineStr">
        <is>
          <t>P0</t>
        </is>
      </c>
      <c r="F436" s="3" t="inlineStr">
        <is>
          <t>4.3.2.9</t>
        </is>
      </c>
      <c r="G436" s="3" t="inlineStr">
        <is>
          <t>（见父案步骤）</t>
        </is>
      </c>
      <c r="H436" s="3" t="inlineStr">
        <is>
          <t>能发送延时信号</t>
        </is>
      </c>
      <c r="I436" s="3" t="n"/>
      <c r="J436" s="2" t="inlineStr">
        <is>
          <t>通过</t>
        </is>
      </c>
      <c r="K436" s="2" t="n"/>
      <c r="L436" s="2" t="n"/>
      <c r="M436" s="3" t="n"/>
      <c r="N436" s="2" t="n"/>
    </row>
    <row r="437">
      <c r="A437" s="2" t="n">
        <v>436</v>
      </c>
      <c r="B437" s="2" t="inlineStr">
        <is>
          <t>GE-08.3</t>
        </is>
      </c>
      <c r="C437" s="3" t="inlineStr">
        <is>
          <t>气体灭火控制器</t>
        </is>
      </c>
      <c r="D437" s="3" t="inlineStr">
        <is>
          <t>启动喷洒控制信号</t>
        </is>
      </c>
      <c r="E437" s="2" t="inlineStr">
        <is>
          <t>P0</t>
        </is>
      </c>
      <c r="F437" s="3" t="inlineStr">
        <is>
          <t>4.3.2.9</t>
        </is>
      </c>
      <c r="G437" s="3" t="inlineStr">
        <is>
          <t>（见父案步骤）</t>
        </is>
      </c>
      <c r="H437" s="3" t="inlineStr">
        <is>
          <t>能发送启动喷洒控制信号</t>
        </is>
      </c>
      <c r="I437" s="3" t="n"/>
      <c r="J437" s="2" t="inlineStr">
        <is>
          <t>通过</t>
        </is>
      </c>
      <c r="K437" s="2" t="n"/>
      <c r="L437" s="2" t="n"/>
      <c r="M437" s="3" t="n"/>
      <c r="N437" s="2" t="n"/>
    </row>
    <row r="438">
      <c r="A438" s="2" t="n">
        <v>437</v>
      </c>
      <c r="B438" s="2" t="inlineStr">
        <is>
          <t>GE-08.4</t>
        </is>
      </c>
      <c r="C438" s="3" t="inlineStr">
        <is>
          <t>气体灭火控制器</t>
        </is>
      </c>
      <c r="D438" s="3" t="inlineStr">
        <is>
          <t>气体喷洒信号</t>
        </is>
      </c>
      <c r="E438" s="2" t="inlineStr">
        <is>
          <t>P0</t>
        </is>
      </c>
      <c r="F438" s="3" t="inlineStr">
        <is>
          <t>4.3.2.9</t>
        </is>
      </c>
      <c r="G438" s="3" t="inlineStr">
        <is>
          <t>（见父案步骤）</t>
        </is>
      </c>
      <c r="H438" s="3" t="inlineStr">
        <is>
          <t>能发送气体喷洒信号</t>
        </is>
      </c>
      <c r="I438" s="3" t="n"/>
      <c r="J438" s="2" t="inlineStr">
        <is>
          <t>通过</t>
        </is>
      </c>
      <c r="K438" s="2" t="n"/>
      <c r="L438" s="2" t="n"/>
      <c r="M438" s="3" t="n"/>
      <c r="N438" s="2" t="n"/>
    </row>
    <row r="439">
      <c r="A439" s="2" t="n">
        <v>438</v>
      </c>
      <c r="B439" s="2" t="inlineStr">
        <is>
          <t>GE-08.5</t>
        </is>
      </c>
      <c r="C439" s="3" t="inlineStr">
        <is>
          <t>气体灭火控制器</t>
        </is>
      </c>
      <c r="D439" s="3" t="inlineStr">
        <is>
          <t>故障信号</t>
        </is>
      </c>
      <c r="E439" s="2" t="inlineStr">
        <is>
          <t>P0</t>
        </is>
      </c>
      <c r="F439" s="3" t="inlineStr">
        <is>
          <t>4.3.2.9</t>
        </is>
      </c>
      <c r="G439" s="3" t="inlineStr">
        <is>
          <t>（见父案步骤）</t>
        </is>
      </c>
      <c r="H439" s="3" t="inlineStr">
        <is>
          <t>能发送故障信号</t>
        </is>
      </c>
      <c r="I439" s="3" t="n"/>
      <c r="J439" s="2" t="inlineStr">
        <is>
          <t>通过</t>
        </is>
      </c>
      <c r="K439" s="2" t="n"/>
      <c r="L439" s="2" t="n"/>
      <c r="M439" s="3" t="n"/>
      <c r="N439" s="2" t="n"/>
    </row>
    <row r="440">
      <c r="A440" s="2" t="n">
        <v>439</v>
      </c>
      <c r="B440" s="2" t="inlineStr">
        <is>
          <t>GE-08.6</t>
        </is>
      </c>
      <c r="C440" s="3" t="inlineStr">
        <is>
          <t>气体灭火控制器</t>
        </is>
      </c>
      <c r="D440" s="3" t="inlineStr">
        <is>
          <t>阀动作信息</t>
        </is>
      </c>
      <c r="E440" s="2" t="inlineStr">
        <is>
          <t>P0</t>
        </is>
      </c>
      <c r="F440" s="3" t="inlineStr">
        <is>
          <t>4.3.2.9</t>
        </is>
      </c>
      <c r="G440" s="3" t="inlineStr">
        <is>
          <t>（见父案步骤）</t>
        </is>
      </c>
      <c r="H440" s="3" t="inlineStr">
        <is>
          <t>能发送选择阀和瓶头阀动作信息</t>
        </is>
      </c>
      <c r="I440" s="3" t="n"/>
      <c r="J440" s="2" t="inlineStr">
        <is>
          <t>待测</t>
        </is>
      </c>
      <c r="K440" s="2" t="n"/>
      <c r="L440" s="2" t="n"/>
      <c r="M440" s="3" t="n"/>
      <c r="N440" s="2" t="n"/>
    </row>
    <row r="441">
      <c r="A441" s="2" t="n">
        <v>440</v>
      </c>
      <c r="B441" s="2" t="inlineStr">
        <is>
          <t>GE-09</t>
        </is>
      </c>
      <c r="C441" s="3" t="inlineStr">
        <is>
          <t>气体灭火控制器</t>
        </is>
      </c>
      <c r="D441" s="3" t="n"/>
      <c r="E441" s="2" t="inlineStr">
        <is>
          <t>P0</t>
        </is>
      </c>
      <c r="F441" s="3" t="inlineStr">
        <is>
          <t>4.3.2.11 ↔ 5.3.1</t>
        </is>
      </c>
      <c r="G441" s="3" t="inlineStr">
        <is>
          <t>复位与状态重建（总案）——启动保持状态下手动复位，计时</t>
        </is>
      </c>
      <c r="H441" s="3" t="inlineStr">
        <is>
          <t>见子项</t>
        </is>
      </c>
      <c r="I441" s="3" t="n"/>
      <c r="J441" s="2" t="inlineStr">
        <is>
          <t>通过</t>
        </is>
      </c>
      <c r="K441" s="2" t="n"/>
      <c r="L441" s="2" t="n"/>
      <c r="M441" s="3" t="n"/>
      <c r="N441" s="2" t="n"/>
    </row>
    <row r="442">
      <c r="A442" s="2" t="n">
        <v>441</v>
      </c>
      <c r="B442" s="2" t="inlineStr">
        <is>
          <t>GE-09.1</t>
        </is>
      </c>
      <c r="C442" s="3" t="inlineStr">
        <is>
          <t>气体灭火控制器</t>
        </is>
      </c>
      <c r="D442" s="3" t="inlineStr">
        <is>
          <t>复位按键</t>
        </is>
      </c>
      <c r="E442" s="2" t="inlineStr">
        <is>
          <t>P0</t>
        </is>
      </c>
      <c r="F442" s="3" t="inlineStr">
        <is>
          <t>4.3.2.11</t>
        </is>
      </c>
      <c r="G442" s="3" t="inlineStr">
        <is>
          <t>（见父案步骤）</t>
        </is>
      </c>
      <c r="H442" s="3" t="inlineStr">
        <is>
          <t>设复位按键</t>
        </is>
      </c>
      <c r="I442" s="3" t="n"/>
      <c r="J442" s="2" t="inlineStr">
        <is>
          <t>通过</t>
        </is>
      </c>
      <c r="K442" s="2" t="n"/>
      <c r="L442" s="2" t="n"/>
      <c r="M442" s="3" t="n"/>
      <c r="N442" s="2" t="n"/>
    </row>
    <row r="443">
      <c r="A443" s="2" t="n">
        <v>442</v>
      </c>
      <c r="B443" s="2" t="inlineStr">
        <is>
          <t>GE-09.2</t>
        </is>
      </c>
      <c r="C443" s="3" t="inlineStr">
        <is>
          <t>气体灭火控制器</t>
        </is>
      </c>
      <c r="D443" s="3" t="inlineStr">
        <is>
          <t>状态重建</t>
        </is>
      </c>
      <c r="E443" s="2" t="inlineStr">
        <is>
          <t>P0</t>
        </is>
      </c>
      <c r="F443" s="3" t="inlineStr">
        <is>
          <t>4.3.2.11</t>
        </is>
      </c>
      <c r="G443" s="3" t="inlineStr">
        <is>
          <t>（见父案步骤）</t>
        </is>
      </c>
      <c r="H443" s="3" t="inlineStr">
        <is>
          <t>复位后仍存在的状态和信息保持或 ≤20 s 重新建立</t>
        </is>
      </c>
      <c r="I443" s="3" t="n"/>
      <c r="J443" s="2" t="inlineStr">
        <is>
          <t>通过</t>
        </is>
      </c>
      <c r="K443" s="2" t="n"/>
      <c r="L443" s="2" t="n"/>
      <c r="M443" s="3" t="n"/>
      <c r="N443" s="2" t="n"/>
    </row>
    <row r="444">
      <c r="A444" s="2" t="n">
        <v>443</v>
      </c>
      <c r="B444" s="2" t="inlineStr">
        <is>
          <t>GE-10</t>
        </is>
      </c>
      <c r="C444" s="3" t="inlineStr">
        <is>
          <t>气体灭火控制器</t>
        </is>
      </c>
      <c r="D444" s="3" t="n"/>
      <c r="E444" s="2" t="inlineStr">
        <is>
          <t>P1</t>
        </is>
      </c>
      <c r="F444" s="3" t="inlineStr">
        <is>
          <t>4.3.2.12 ↔ 5.3.1</t>
        </is>
      </c>
      <c r="G444" s="3" t="inlineStr">
        <is>
          <t>计时精度（总案）——连续运行 24 h 比对</t>
        </is>
      </c>
      <c r="H444" s="3" t="inlineStr">
        <is>
          <t>见子项</t>
        </is>
      </c>
      <c r="I444" s="3" t="n"/>
      <c r="J444" s="2" t="inlineStr">
        <is>
          <t>通过</t>
        </is>
      </c>
      <c r="K444" s="2" t="n"/>
      <c r="L444" s="2" t="inlineStr">
        <is>
          <t>2026-09-03</t>
        </is>
      </c>
      <c r="M444" s="3" t="n"/>
      <c r="N444" s="2" t="n"/>
    </row>
    <row r="445">
      <c r="A445" s="2" t="n">
        <v>444</v>
      </c>
      <c r="B445" s="2" t="inlineStr">
        <is>
          <t>GE-10.1</t>
        </is>
      </c>
      <c r="C445" s="3" t="inlineStr">
        <is>
          <t>气体灭火控制器</t>
        </is>
      </c>
      <c r="D445" s="3" t="inlineStr">
        <is>
          <t>日计时误差</t>
        </is>
      </c>
      <c r="E445" s="2" t="inlineStr">
        <is>
          <t>P1</t>
        </is>
      </c>
      <c r="F445" s="3" t="inlineStr">
        <is>
          <t>4.3.2.12</t>
        </is>
      </c>
      <c r="G445" s="3" t="inlineStr">
        <is>
          <t>（见父案步骤）</t>
        </is>
      </c>
      <c r="H445" s="3" t="inlineStr">
        <is>
          <t>日计时误差 ≤30 s</t>
        </is>
      </c>
      <c r="I445" s="3" t="n"/>
      <c r="J445" s="2" t="inlineStr">
        <is>
          <t>通过</t>
        </is>
      </c>
      <c r="K445" s="2" t="n"/>
      <c r="L445" s="2" t="inlineStr">
        <is>
          <t>2026-09-03</t>
        </is>
      </c>
      <c r="M445" s="3" t="n"/>
      <c r="N445" s="2" t="n"/>
    </row>
    <row r="446">
      <c r="A446" s="2" t="n">
        <v>445</v>
      </c>
      <c r="B446" s="2" t="inlineStr">
        <is>
          <t>GE-10.2</t>
        </is>
      </c>
      <c r="C446" s="3" t="inlineStr">
        <is>
          <t>气体灭火控制器</t>
        </is>
      </c>
      <c r="D446" s="3" t="inlineStr">
        <is>
          <t>打印时间格式</t>
        </is>
      </c>
      <c r="E446" s="2" t="inlineStr">
        <is>
          <t>P1</t>
        </is>
      </c>
      <c r="F446" s="3" t="inlineStr">
        <is>
          <t>4.3.2.12</t>
        </is>
      </c>
      <c r="G446" s="3" t="inlineStr">
        <is>
          <t>（见父案步骤）</t>
        </is>
      </c>
      <c r="H446" s="3" t="inlineStr">
        <is>
          <t>打印含月日时分</t>
        </is>
      </c>
      <c r="I446" s="4" t="inlineStr">
        <is>
          <t>（未填写原因，需补）</t>
        </is>
      </c>
      <c r="J446" s="6" t="inlineStr">
        <is>
          <t>不适用</t>
        </is>
      </c>
      <c r="K446" s="2" t="n"/>
      <c r="L446" s="2" t="inlineStr">
        <is>
          <t>2026-08-18</t>
        </is>
      </c>
      <c r="M446" s="3" t="n"/>
      <c r="N446" s="2" t="n"/>
    </row>
    <row r="447">
      <c r="A447" s="2" t="n">
        <v>446</v>
      </c>
      <c r="B447" s="2" t="inlineStr">
        <is>
          <t>GE-10.3</t>
        </is>
      </c>
      <c r="C447" s="3" t="inlineStr">
        <is>
          <t>气体灭火控制器</t>
        </is>
      </c>
      <c r="D447" s="3" t="inlineStr">
        <is>
          <t>记录通道</t>
        </is>
      </c>
      <c r="E447" s="2" t="inlineStr">
        <is>
          <t>P1</t>
        </is>
      </c>
      <c r="F447" s="3" t="inlineStr">
        <is>
          <t>4.3.2.12</t>
        </is>
      </c>
      <c r="G447" s="3" t="inlineStr">
        <is>
          <t>（见父案步骤）</t>
        </is>
      </c>
      <c r="H447" s="3" t="inlineStr">
        <is>
          <t>不能仅用打印机记录</t>
        </is>
      </c>
      <c r="I447" s="3" t="n"/>
      <c r="J447" s="2" t="inlineStr">
        <is>
          <t>通过</t>
        </is>
      </c>
      <c r="K447" s="2" t="n"/>
      <c r="L447" s="2" t="n"/>
      <c r="M447" s="3" t="n"/>
      <c r="N447" s="2" t="n"/>
    </row>
    <row r="448">
      <c r="A448" s="2" t="n">
        <v>447</v>
      </c>
      <c r="B448" s="2" t="inlineStr">
        <is>
          <t>GE-11</t>
        </is>
      </c>
      <c r="C448" s="3" t="inlineStr">
        <is>
          <t>气体灭火控制器</t>
        </is>
      </c>
      <c r="D448" s="3" t="inlineStr">
        <is>
          <t>输出特性</t>
        </is>
      </c>
      <c r="E448" s="2" t="inlineStr">
        <is>
          <t>P1</t>
        </is>
      </c>
      <c r="F448" s="3" t="inlineStr">
        <is>
          <t>4.3.2.10 ↔ 5.3.1</t>
        </is>
      </c>
      <c r="G448" s="3" t="inlineStr">
        <is>
          <t>测输出接点电压/电流/容量</t>
        </is>
      </c>
      <c r="H448" s="3" t="inlineStr">
        <is>
          <t>满足制造商规定</t>
        </is>
      </c>
      <c r="I448" s="3" t="n"/>
      <c r="J448" s="2" t="inlineStr">
        <is>
          <t>通过</t>
        </is>
      </c>
      <c r="K448" s="2" t="n"/>
      <c r="L448" s="2" t="n"/>
      <c r="M448" s="3" t="n"/>
      <c r="N448" s="2" t="n"/>
    </row>
    <row r="449">
      <c r="A449" s="2" t="n">
        <v>448</v>
      </c>
      <c r="B449" s="2" t="inlineStr">
        <is>
          <t>GE-12</t>
        </is>
      </c>
      <c r="C449" s="3" t="inlineStr">
        <is>
          <t>气体灭火控制器</t>
        </is>
      </c>
      <c r="D449" s="3" t="n"/>
      <c r="E449" s="2" t="inlineStr">
        <is>
          <t>P0</t>
        </is>
      </c>
      <c r="F449" s="3" t="inlineStr">
        <is>
          <t>4.3.3.1/4.3.3.2 ↔ 5.3.2</t>
        </is>
      </c>
      <c r="G449" s="3" t="inlineStr">
        <is>
          <t>故障报警（部位/类型）（总案）——分别制造：a) 警报器连线断/短/接地；b) 驱动部件、现场启停按键连线断/短/接地；c) 充电器-备电断/短；d) 备电-负载断/短；e) 主电欠压。计时</t>
        </is>
      </c>
      <c r="H449" s="3" t="inlineStr">
        <is>
          <t>见子项</t>
        </is>
      </c>
      <c r="I449" s="3" t="n"/>
      <c r="J449" s="2" t="inlineStr">
        <is>
          <t>通过</t>
        </is>
      </c>
      <c r="K449" s="2" t="n"/>
      <c r="L449" s="2" t="n"/>
      <c r="M449" s="3" t="n"/>
      <c r="N449" s="2" t="n"/>
    </row>
    <row r="450">
      <c r="A450" s="2" t="n">
        <v>449</v>
      </c>
      <c r="B450" s="2" t="inlineStr">
        <is>
          <t>GE-12.1</t>
        </is>
      </c>
      <c r="C450" s="3" t="inlineStr">
        <is>
          <t>气体灭火控制器</t>
        </is>
      </c>
      <c r="D450" s="3" t="inlineStr">
        <is>
          <t>故障声光时限</t>
        </is>
      </c>
      <c r="E450" s="2" t="inlineStr">
        <is>
          <t>P0</t>
        </is>
      </c>
      <c r="F450" s="3" t="inlineStr">
        <is>
          <t>4.3.3.1</t>
        </is>
      </c>
      <c r="G450" s="3" t="inlineStr">
        <is>
          <t>（见父案步骤）</t>
        </is>
      </c>
      <c r="H450" s="3" t="inlineStr">
        <is>
          <t>≤100 s 故障声光</t>
        </is>
      </c>
      <c r="I450" s="3" t="n"/>
      <c r="J450" s="2" t="inlineStr">
        <is>
          <t>通过</t>
        </is>
      </c>
      <c r="K450" s="2" t="n"/>
      <c r="L450" s="2" t="n"/>
      <c r="M450" s="3" t="n"/>
      <c r="N450" s="2" t="n"/>
    </row>
    <row r="451">
      <c r="A451" s="2" t="n">
        <v>450</v>
      </c>
      <c r="B451" s="2" t="inlineStr">
        <is>
          <t>GE-12.2</t>
        </is>
      </c>
      <c r="C451" s="3" t="inlineStr">
        <is>
          <t>气体灭火控制器</t>
        </is>
      </c>
      <c r="D451" s="3" t="inlineStr">
        <is>
          <t>声可消可再启动</t>
        </is>
      </c>
      <c r="E451" s="2" t="inlineStr">
        <is>
          <t>P0</t>
        </is>
      </c>
      <c r="F451" s="3" t="inlineStr">
        <is>
          <t>4.3.3.1</t>
        </is>
      </c>
      <c r="G451" s="3" t="inlineStr">
        <is>
          <t>（见父案步骤）</t>
        </is>
      </c>
      <c r="H451" s="3" t="inlineStr">
        <is>
          <t>故障声可消可再启动</t>
        </is>
      </c>
      <c r="I451" s="3" t="n"/>
      <c r="J451" s="2" t="inlineStr">
        <is>
          <t>通过</t>
        </is>
      </c>
      <c r="K451" s="2" t="n"/>
      <c r="L451" s="2" t="n"/>
      <c r="M451" s="3" t="n"/>
      <c r="N451" s="2" t="n"/>
    </row>
    <row r="452">
      <c r="A452" s="2" t="n">
        <v>451</v>
      </c>
      <c r="B452" s="2" t="inlineStr">
        <is>
          <t>GE-12.3</t>
        </is>
      </c>
      <c r="C452" s="3" t="inlineStr">
        <is>
          <t>气体灭火控制器</t>
        </is>
      </c>
      <c r="D452" s="3" t="inlineStr">
        <is>
          <t>光保持</t>
        </is>
      </c>
      <c r="E452" s="2" t="inlineStr">
        <is>
          <t>P0</t>
        </is>
      </c>
      <c r="F452" s="3" t="inlineStr">
        <is>
          <t>4.3.3.1</t>
        </is>
      </c>
      <c r="G452" s="3" t="inlineStr">
        <is>
          <t>（见父案步骤）</t>
        </is>
      </c>
      <c r="H452" s="3" t="inlineStr">
        <is>
          <t>故障光保持至排除</t>
        </is>
      </c>
      <c r="I452" s="3" t="n"/>
      <c r="J452" s="2" t="inlineStr">
        <is>
          <t>通过</t>
        </is>
      </c>
      <c r="K452" s="2" t="n"/>
      <c r="L452" s="2" t="n"/>
      <c r="M452" s="3" t="n"/>
      <c r="N452" s="2" t="n"/>
    </row>
    <row r="453">
      <c r="A453" s="2" t="n">
        <v>452</v>
      </c>
      <c r="B453" s="2" t="inlineStr">
        <is>
          <t>GE-12.4</t>
        </is>
      </c>
      <c r="C453" s="3" t="inlineStr">
        <is>
          <t>气体灭火控制器</t>
        </is>
      </c>
      <c r="D453" s="3" t="inlineStr">
        <is>
          <t>部位指示</t>
        </is>
      </c>
      <c r="E453" s="2" t="inlineStr">
        <is>
          <t>P0</t>
        </is>
      </c>
      <c r="F453" s="3" t="inlineStr">
        <is>
          <t>4.3.3.2 a)/b)</t>
        </is>
      </c>
      <c r="G453" s="3" t="inlineStr">
        <is>
          <t>（见父案步骤）</t>
        </is>
      </c>
      <c r="H453" s="3" t="inlineStr">
        <is>
          <t>a)/b) 指示部位</t>
        </is>
      </c>
      <c r="I453" s="3" t="n"/>
      <c r="J453" s="2" t="inlineStr">
        <is>
          <t>通过</t>
        </is>
      </c>
      <c r="K453" s="2" t="n"/>
      <c r="L453" s="2" t="n"/>
      <c r="M453" s="3" t="n"/>
      <c r="N453" s="2" t="n"/>
    </row>
    <row r="454">
      <c r="A454" s="2" t="n">
        <v>453</v>
      </c>
      <c r="B454" s="2" t="inlineStr">
        <is>
          <t>GE-12.5</t>
        </is>
      </c>
      <c r="C454" s="3" t="inlineStr">
        <is>
          <t>气体灭火控制器</t>
        </is>
      </c>
      <c r="D454" s="3" t="inlineStr">
        <is>
          <t>类型指示</t>
        </is>
      </c>
      <c r="E454" s="2" t="inlineStr">
        <is>
          <t>P0</t>
        </is>
      </c>
      <c r="F454" s="3" t="inlineStr">
        <is>
          <t>4.3.3.2 c)/d)/e)</t>
        </is>
      </c>
      <c r="G454" s="3" t="inlineStr">
        <is>
          <t>（见父案步骤）</t>
        </is>
      </c>
      <c r="H454" s="3" t="inlineStr">
        <is>
          <t>c)/d)/e) 指示类型</t>
        </is>
      </c>
      <c r="I454" s="3" t="n"/>
      <c r="J454" s="2" t="inlineStr">
        <is>
          <t>通过</t>
        </is>
      </c>
      <c r="K454" s="2" t="n"/>
      <c r="L454" s="2" t="n"/>
      <c r="M454" s="3" t="n"/>
      <c r="N454" s="2" t="n"/>
    </row>
    <row r="455">
      <c r="A455" s="2" t="n">
        <v>454</v>
      </c>
      <c r="B455" s="2" t="inlineStr">
        <is>
          <t>GE-12.6</t>
        </is>
      </c>
      <c r="C455" s="3" t="inlineStr">
        <is>
          <t>气体灭火控制器</t>
        </is>
      </c>
      <c r="D455" s="3" t="inlineStr">
        <is>
          <t>故障灯</t>
        </is>
      </c>
      <c r="E455" s="2" t="inlineStr">
        <is>
          <t>P0</t>
        </is>
      </c>
      <c r="F455" s="3" t="inlineStr">
        <is>
          <t>4.3.3.1</t>
        </is>
      </c>
      <c r="G455" s="3" t="inlineStr">
        <is>
          <t>（见父案步骤）</t>
        </is>
      </c>
      <c r="H455" s="3" t="inlineStr">
        <is>
          <t>故障指示灯点亮</t>
        </is>
      </c>
      <c r="I455" s="3" t="n"/>
      <c r="J455" s="2" t="inlineStr">
        <is>
          <t>通过</t>
        </is>
      </c>
      <c r="K455" s="2" t="n"/>
      <c r="L455" s="2" t="n"/>
      <c r="M455" s="3" t="n"/>
      <c r="N455" s="2" t="n"/>
    </row>
    <row r="456">
      <c r="A456" s="2" t="n">
        <v>455</v>
      </c>
      <c r="B456" s="2" t="inlineStr">
        <is>
          <t>GE-13</t>
        </is>
      </c>
      <c r="C456" s="3" t="inlineStr">
        <is>
          <t>气体灭火控制器</t>
        </is>
      </c>
      <c r="D456" s="3" t="n"/>
      <c r="E456" s="2" t="inlineStr">
        <is>
          <t>P1</t>
        </is>
      </c>
      <c r="F456" s="3" t="inlineStr">
        <is>
          <t>↔ 5.3.2.2.2</t>
        </is>
      </c>
      <c r="G456" s="3" t="inlineStr">
        <is>
          <t>阶段×故障双向互检（总案）——双向各测一遍：① 分别在启动控制、延时、启动喷洒、气体喷洒状态中制造故障；② 先使故障存在，再分别进入上述四个阶段</t>
        </is>
      </c>
      <c r="H456" s="3" t="inlineStr">
        <is>
          <t>见子项</t>
        </is>
      </c>
      <c r="I456" s="3" t="n"/>
      <c r="J456" s="2" t="inlineStr">
        <is>
          <t>待测</t>
        </is>
      </c>
      <c r="K456" s="2" t="n"/>
      <c r="L456" s="2" t="n"/>
      <c r="M456" s="3" t="n"/>
      <c r="N456" s="2" t="n"/>
    </row>
    <row r="457">
      <c r="A457" s="2" t="n">
        <v>456</v>
      </c>
      <c r="B457" s="2" t="inlineStr">
        <is>
          <t>GE-13.1</t>
        </is>
      </c>
      <c r="C457" s="3" t="inlineStr">
        <is>
          <t>气体灭火控制器</t>
        </is>
      </c>
      <c r="D457" s="3" t="inlineStr">
        <is>
          <t>① 阶段中故障显示</t>
        </is>
      </c>
      <c r="E457" s="2" t="inlineStr">
        <is>
          <t>P1</t>
        </is>
      </c>
      <c r="F457" s="3" t="inlineStr">
        <is>
          <t>↔ 5.3.2.2.2</t>
        </is>
      </c>
      <c r="G457" s="3" t="inlineStr">
        <is>
          <t>（见父案步骤）</t>
        </is>
      </c>
      <c r="H457" s="3" t="inlineStr">
        <is>
          <t>各阶段中制造的故障均正常显示</t>
        </is>
      </c>
      <c r="I457" s="3" t="n"/>
      <c r="J457" s="2" t="inlineStr">
        <is>
          <t>待测</t>
        </is>
      </c>
      <c r="K457" s="2" t="n"/>
      <c r="L457" s="2" t="n"/>
      <c r="M457" s="3" t="n"/>
      <c r="N457" s="2" t="n"/>
    </row>
    <row r="458">
      <c r="A458" s="2" t="n">
        <v>457</v>
      </c>
      <c r="B458" s="2" t="inlineStr">
        <is>
          <t>GE-13.2</t>
        </is>
      </c>
      <c r="C458" s="3" t="inlineStr">
        <is>
          <t>气体灭火控制器</t>
        </is>
      </c>
      <c r="D458" s="3" t="inlineStr">
        <is>
          <t>① 不打断流程</t>
        </is>
      </c>
      <c r="E458" s="2" t="inlineStr">
        <is>
          <t>P1</t>
        </is>
      </c>
      <c r="F458" s="3" t="inlineStr">
        <is>
          <t>↔ 5.3.2.2.2</t>
        </is>
      </c>
      <c r="G458" s="3" t="inlineStr">
        <is>
          <t>（见父案步骤）</t>
        </is>
      </c>
      <c r="H458" s="3" t="inlineStr">
        <is>
          <t>不打断当前流程</t>
        </is>
      </c>
      <c r="I458" s="3" t="n"/>
      <c r="J458" s="2" t="inlineStr">
        <is>
          <t>待测</t>
        </is>
      </c>
      <c r="K458" s="2" t="n"/>
      <c r="L458" s="2" t="n"/>
      <c r="M458" s="3" t="n"/>
      <c r="N458" s="2" t="n"/>
    </row>
    <row r="459">
      <c r="A459" s="2" t="n">
        <v>458</v>
      </c>
      <c r="B459" s="2" t="inlineStr">
        <is>
          <t>GE-13.3</t>
        </is>
      </c>
      <c r="C459" s="3" t="inlineStr">
        <is>
          <t>气体灭火控制器</t>
        </is>
      </c>
      <c r="D459" s="3" t="inlineStr">
        <is>
          <t>② 流程照常推进</t>
        </is>
      </c>
      <c r="E459" s="2" t="inlineStr">
        <is>
          <t>P1</t>
        </is>
      </c>
      <c r="F459" s="3" t="inlineStr">
        <is>
          <t>↔ 5.3.2.2.2</t>
        </is>
      </c>
      <c r="G459" s="3" t="inlineStr">
        <is>
          <t>（见父案步骤）</t>
        </is>
      </c>
      <c r="H459" s="3" t="inlineStr">
        <is>
          <t>故障先存在时，流程照常推进</t>
        </is>
      </c>
      <c r="I459" s="3" t="n"/>
      <c r="J459" s="2" t="inlineStr">
        <is>
          <t>待测</t>
        </is>
      </c>
      <c r="K459" s="2" t="n"/>
      <c r="L459" s="2" t="n"/>
      <c r="M459" s="3" t="n"/>
      <c r="N459" s="2" t="n"/>
    </row>
    <row r="460">
      <c r="A460" s="2" t="n">
        <v>459</v>
      </c>
      <c r="B460" s="2" t="inlineStr">
        <is>
          <t>GE-13.4</t>
        </is>
      </c>
      <c r="C460" s="3" t="inlineStr">
        <is>
          <t>气体灭火控制器</t>
        </is>
      </c>
      <c r="D460" s="3" t="inlineStr">
        <is>
          <t>② 故障灯全程保持</t>
        </is>
      </c>
      <c r="E460" s="2" t="inlineStr">
        <is>
          <t>P1</t>
        </is>
      </c>
      <c r="F460" s="3" t="inlineStr">
        <is>
          <t>↔ 5.3.2.2.2</t>
        </is>
      </c>
      <c r="G460" s="3" t="inlineStr">
        <is>
          <t>（见父案步骤）</t>
        </is>
      </c>
      <c r="H460" s="3" t="inlineStr">
        <is>
          <t>故障指示灯全程保持</t>
        </is>
      </c>
      <c r="I460" s="3" t="n"/>
      <c r="J460" s="2" t="inlineStr">
        <is>
          <t>待测</t>
        </is>
      </c>
      <c r="K460" s="2" t="n"/>
      <c r="L460" s="2" t="n"/>
      <c r="M460" s="3" t="n"/>
      <c r="N460" s="2" t="n"/>
    </row>
    <row r="461">
      <c r="A461" s="2" t="n">
        <v>460</v>
      </c>
      <c r="B461" s="2" t="inlineStr">
        <is>
          <t>GE-14</t>
        </is>
      </c>
      <c r="C461" s="3" t="inlineStr">
        <is>
          <t>气体灭火控制器</t>
        </is>
      </c>
      <c r="D461" s="3" t="n"/>
      <c r="E461" s="2" t="inlineStr">
        <is>
          <t>P0</t>
        </is>
      </c>
      <c r="F461" s="3" t="inlineStr">
        <is>
          <t>4.3.3.3 ↔ 5.3.2.2.5</t>
        </is>
      </c>
      <c r="G461" s="3" t="inlineStr">
        <is>
          <t>故障复位复显与清空（总案）——① 保留故障源手动复位，计时；② 排除所有故障源后观察（自动恢复的不复位；未自清的手动复位）</t>
        </is>
      </c>
      <c r="H461" s="3" t="inlineStr">
        <is>
          <t>见子项</t>
        </is>
      </c>
      <c r="I461" s="3" t="n"/>
      <c r="J461" s="2" t="inlineStr">
        <is>
          <t>待测</t>
        </is>
      </c>
      <c r="K461" s="2" t="n"/>
      <c r="L461" s="2" t="n"/>
      <c r="M461" s="3" t="n"/>
      <c r="N461" s="2" t="n"/>
    </row>
    <row r="462">
      <c r="A462" s="2" t="n">
        <v>461</v>
      </c>
      <c r="B462" s="2" t="inlineStr">
        <is>
          <t>GE-14.1</t>
        </is>
      </c>
      <c r="C462" s="3" t="inlineStr">
        <is>
          <t>气体灭火控制器</t>
        </is>
      </c>
      <c r="D462" s="3" t="inlineStr">
        <is>
          <t>尚存故障复显</t>
        </is>
      </c>
      <c r="E462" s="2" t="inlineStr">
        <is>
          <t>P0</t>
        </is>
      </c>
      <c r="F462" s="3" t="inlineStr">
        <is>
          <t>4.3.3.3</t>
        </is>
      </c>
      <c r="G462" s="3" t="inlineStr">
        <is>
          <t>（见父案步骤）</t>
        </is>
      </c>
      <c r="H462" s="3" t="inlineStr">
        <is>
          <t>① 尚存故障 ≤100 s 重新显示</t>
        </is>
      </c>
      <c r="I462" s="3" t="n"/>
      <c r="J462" s="2" t="inlineStr">
        <is>
          <t>待测</t>
        </is>
      </c>
      <c r="K462" s="2" t="n"/>
      <c r="L462" s="2" t="n"/>
      <c r="M462" s="3" t="n"/>
      <c r="N462" s="2" t="n"/>
    </row>
    <row r="463">
      <c r="A463" s="2" t="n">
        <v>462</v>
      </c>
      <c r="B463" s="2" t="inlineStr">
        <is>
          <t>GE-14.2</t>
        </is>
      </c>
      <c r="C463" s="3" t="inlineStr">
        <is>
          <t>气体灭火控制器</t>
        </is>
      </c>
      <c r="D463" s="3" t="inlineStr">
        <is>
          <t>全清无残留</t>
        </is>
      </c>
      <c r="E463" s="2" t="inlineStr">
        <is>
          <t>P0</t>
        </is>
      </c>
      <c r="F463" s="3" t="inlineStr">
        <is>
          <t>4.3.3.3</t>
        </is>
      </c>
      <c r="G463" s="3" t="inlineStr">
        <is>
          <t>（见父案步骤）</t>
        </is>
      </c>
      <c r="H463" s="3" t="inlineStr">
        <is>
          <t>② 全部排除后指示完全清空、无"幽灵故障"残留（与 FT-05 ② 同构）</t>
        </is>
      </c>
      <c r="I463" s="3" t="n"/>
      <c r="J463" s="2" t="inlineStr">
        <is>
          <t>待测</t>
        </is>
      </c>
      <c r="K463" s="2" t="n"/>
      <c r="L463" s="2" t="n"/>
      <c r="M463" s="3" t="n"/>
      <c r="N463" s="2" t="n"/>
    </row>
    <row r="464">
      <c r="A464" s="2" t="n">
        <v>463</v>
      </c>
      <c r="B464" s="2" t="inlineStr">
        <is>
          <t>GE-15</t>
        </is>
      </c>
      <c r="C464" s="3" t="inlineStr">
        <is>
          <t>气体灭火控制器</t>
        </is>
      </c>
      <c r="D464" s="3" t="n"/>
      <c r="E464" s="2" t="inlineStr">
        <is>
          <t>P0</t>
        </is>
      </c>
      <c r="F464" s="3" t="inlineStr">
        <is>
          <t>4.3.4.1 ↔ 5.3.3</t>
        </is>
      </c>
      <c r="G464" s="3" t="inlineStr">
        <is>
          <t>自检不动作输出（总案）——自检期间监视受控设备与输出接点；自检 &gt;1 min 时使非自检部位启动</t>
        </is>
      </c>
      <c r="H464" s="3" t="inlineStr">
        <is>
          <t>见子项</t>
        </is>
      </c>
      <c r="I464" s="3" t="n"/>
      <c r="J464" s="2" t="inlineStr">
        <is>
          <t>通过</t>
        </is>
      </c>
      <c r="K464" s="2" t="n"/>
      <c r="L464" s="2" t="n"/>
      <c r="M464" s="3" t="n"/>
      <c r="N464" s="2" t="n"/>
    </row>
    <row r="465">
      <c r="A465" s="2" t="n">
        <v>464</v>
      </c>
      <c r="B465" s="2" t="inlineStr">
        <is>
          <t>GE-15.1</t>
        </is>
      </c>
      <c r="C465" s="3" t="inlineStr">
        <is>
          <t>气体灭火控制器</t>
        </is>
      </c>
      <c r="D465" s="3" t="inlineStr">
        <is>
          <t>输出不动作</t>
        </is>
      </c>
      <c r="E465" s="2" t="inlineStr">
        <is>
          <t>P0</t>
        </is>
      </c>
      <c r="F465" s="3" t="inlineStr">
        <is>
          <t>4.3.4.1</t>
        </is>
      </c>
      <c r="G465" s="3" t="inlineStr">
        <is>
          <t>（见父案步骤）</t>
        </is>
      </c>
      <c r="H465" s="3" t="inlineStr">
        <is>
          <t>自检期间受控设备与输出接点均不动作</t>
        </is>
      </c>
      <c r="I465" s="3" t="n"/>
      <c r="J465" s="2" t="inlineStr">
        <is>
          <t>通过</t>
        </is>
      </c>
      <c r="K465" s="2" t="n"/>
      <c r="L465" s="2" t="n"/>
      <c r="M465" s="3" t="n"/>
      <c r="N465" s="2" t="n"/>
    </row>
    <row r="466">
      <c r="A466" s="2" t="n">
        <v>465</v>
      </c>
      <c r="B466" s="2" t="inlineStr">
        <is>
          <t>GE-15.2</t>
        </is>
      </c>
      <c r="C466" s="3" t="inlineStr">
        <is>
          <t>气体灭火控制器</t>
        </is>
      </c>
      <c r="D466" s="3" t="inlineStr">
        <is>
          <t>不阻断灭火控制</t>
        </is>
      </c>
      <c r="E466" s="2" t="inlineStr">
        <is>
          <t>P0</t>
        </is>
      </c>
      <c r="F466" s="3" t="inlineStr">
        <is>
          <t>4.3.4.1</t>
        </is>
      </c>
      <c r="G466" s="3" t="inlineStr">
        <is>
          <t>（见父案步骤）</t>
        </is>
      </c>
      <c r="H466" s="3" t="inlineStr">
        <is>
          <t>超 1 min 或不能自动停止时不影响非自检部位及本机灭火控制功能</t>
        </is>
      </c>
      <c r="I466" s="3" t="n"/>
      <c r="J466" s="2" t="inlineStr">
        <is>
          <t>通过</t>
        </is>
      </c>
      <c r="K466" s="2" t="n"/>
      <c r="L466" s="2" t="n"/>
      <c r="M466" s="3" t="n"/>
      <c r="N466" s="2" t="n"/>
    </row>
    <row r="467">
      <c r="A467" s="2" t="n">
        <v>466</v>
      </c>
      <c r="B467" s="2" t="inlineStr">
        <is>
          <t>GE-16</t>
        </is>
      </c>
      <c r="C467" s="3" t="inlineStr">
        <is>
          <t>气体灭火控制器</t>
        </is>
      </c>
      <c r="D467" s="3" t="inlineStr">
        <is>
          <t>面板自检</t>
        </is>
      </c>
      <c r="E467" s="2" t="inlineStr">
        <is>
          <t>P0</t>
        </is>
      </c>
      <c r="F467" s="3" t="inlineStr">
        <is>
          <t>4.3.4.2 ↔ 5.3.3</t>
        </is>
      </c>
      <c r="G467" s="3" t="inlineStr">
        <is>
          <t>手动检查音响、指示灯、显示器</t>
        </is>
      </c>
      <c r="H467" s="3" t="inlineStr">
        <is>
          <t>全部可手动检查</t>
        </is>
      </c>
      <c r="I467" s="3" t="n"/>
      <c r="J467" s="2" t="inlineStr">
        <is>
          <t>通过</t>
        </is>
      </c>
      <c r="K467" s="2" t="n"/>
      <c r="L467" s="2" t="n"/>
      <c r="M467" s="3" t="n"/>
      <c r="N467" s="2" t="n"/>
    </row>
    <row r="468">
      <c r="A468" s="2" t="n">
        <v>467</v>
      </c>
      <c r="B468" s="2" t="inlineStr">
        <is>
          <t>GE-17</t>
        </is>
      </c>
      <c r="C468" s="3" t="inlineStr">
        <is>
          <t>气体灭火控制器</t>
        </is>
      </c>
      <c r="D468" s="3" t="n"/>
      <c r="E468" s="2" t="inlineStr">
        <is>
          <t>P0</t>
        </is>
      </c>
      <c r="F468" s="3" t="inlineStr">
        <is>
          <t>4.3.5.1 ↔ 5.3.4</t>
        </is>
      </c>
      <c r="G468" s="3" t="inlineStr">
        <is>
          <t>主备电转换（总案）——断主电/恢复主电</t>
        </is>
      </c>
      <c r="H468" s="3" t="inlineStr">
        <is>
          <t>见子项</t>
        </is>
      </c>
      <c r="I468" s="3" t="n"/>
      <c r="J468" s="2" t="inlineStr">
        <is>
          <t>通过</t>
        </is>
      </c>
      <c r="K468" s="2" t="n"/>
      <c r="L468" s="2" t="n"/>
      <c r="M468" s="3" t="n"/>
      <c r="N468" s="2" t="n"/>
    </row>
    <row r="469">
      <c r="A469" s="2" t="n">
        <v>468</v>
      </c>
      <c r="B469" s="2" t="inlineStr">
        <is>
          <t>GE-17.1</t>
        </is>
      </c>
      <c r="C469" s="3" t="inlineStr">
        <is>
          <t>气体灭火控制器</t>
        </is>
      </c>
      <c r="D469" s="3" t="inlineStr">
        <is>
          <t>自动转换</t>
        </is>
      </c>
      <c r="E469" s="2" t="inlineStr">
        <is>
          <t>P0</t>
        </is>
      </c>
      <c r="F469" s="3" t="inlineStr">
        <is>
          <t>4.3.5.1</t>
        </is>
      </c>
      <c r="G469" s="3" t="inlineStr">
        <is>
          <t>（见父案步骤）</t>
        </is>
      </c>
      <c r="H469" s="3" t="inlineStr">
        <is>
          <t>自动转换</t>
        </is>
      </c>
      <c r="I469" s="3" t="n"/>
      <c r="J469" s="2" t="inlineStr">
        <is>
          <t>通过</t>
        </is>
      </c>
      <c r="K469" s="2" t="n"/>
      <c r="L469" s="2" t="n"/>
      <c r="M469" s="3" t="n"/>
      <c r="N469" s="2" t="n"/>
    </row>
    <row r="470">
      <c r="A470" s="2" t="n">
        <v>469</v>
      </c>
      <c r="B470" s="2" t="inlineStr">
        <is>
          <t>GE-17.2</t>
        </is>
      </c>
      <c r="C470" s="3" t="inlineStr">
        <is>
          <t>气体灭火控制器</t>
        </is>
      </c>
      <c r="D470" s="3" t="inlineStr">
        <is>
          <t>状态指示</t>
        </is>
      </c>
      <c r="E470" s="2" t="inlineStr">
        <is>
          <t>P0</t>
        </is>
      </c>
      <c r="F470" s="3" t="inlineStr">
        <is>
          <t>4.3.5.1</t>
        </is>
      </c>
      <c r="G470" s="3" t="inlineStr">
        <is>
          <t>（见父案步骤）</t>
        </is>
      </c>
      <c r="H470" s="3" t="inlineStr">
        <is>
          <t>状态指示</t>
        </is>
      </c>
      <c r="I470" s="3" t="n"/>
      <c r="J470" s="2" t="inlineStr">
        <is>
          <t>通过</t>
        </is>
      </c>
      <c r="K470" s="2" t="n"/>
      <c r="L470" s="2" t="n"/>
      <c r="M470" s="3" t="n"/>
      <c r="N470" s="2" t="n"/>
    </row>
    <row r="471">
      <c r="A471" s="2" t="n">
        <v>470</v>
      </c>
      <c r="B471" s="2" t="inlineStr">
        <is>
          <t>GE-17.3</t>
        </is>
      </c>
      <c r="C471" s="3" t="inlineStr">
        <is>
          <t>气体灭火控制器</t>
        </is>
      </c>
      <c r="D471" s="3" t="inlineStr">
        <is>
          <t>主电过流保护</t>
        </is>
      </c>
      <c r="E471" s="2" t="inlineStr">
        <is>
          <t>P0</t>
        </is>
      </c>
      <c r="F471" s="3" t="inlineStr">
        <is>
          <t>4.3.5.1</t>
        </is>
      </c>
      <c r="G471" s="3" t="inlineStr">
        <is>
          <t>（见父案步骤）</t>
        </is>
      </c>
      <c r="H471" s="3" t="inlineStr">
        <is>
          <t>主电过流保护</t>
        </is>
      </c>
      <c r="I471" s="3" t="n"/>
      <c r="J471" s="2" t="inlineStr">
        <is>
          <t>待测</t>
        </is>
      </c>
      <c r="K471" s="2" t="n"/>
      <c r="L471" s="2" t="n"/>
      <c r="M471" s="3" t="n"/>
      <c r="N471" s="2" t="n"/>
    </row>
    <row r="472">
      <c r="A472" s="2" t="n">
        <v>471</v>
      </c>
      <c r="B472" s="2" t="inlineStr">
        <is>
          <t>GE-17.4</t>
        </is>
      </c>
      <c r="C472" s="3" t="inlineStr">
        <is>
          <t>气体灭火控制器</t>
        </is>
      </c>
      <c r="D472" s="3" t="inlineStr">
        <is>
          <t>转换不误动作</t>
        </is>
      </c>
      <c r="E472" s="2" t="inlineStr">
        <is>
          <t>P0</t>
        </is>
      </c>
      <c r="F472" s="3" t="inlineStr">
        <is>
          <t>4.3.5.1</t>
        </is>
      </c>
      <c r="G472" s="3" t="inlineStr">
        <is>
          <t>（见父案步骤）</t>
        </is>
      </c>
      <c r="H472" s="3" t="inlineStr">
        <is>
          <t>转换不误动作</t>
        </is>
      </c>
      <c r="I472" s="3" t="n"/>
      <c r="J472" s="2" t="inlineStr">
        <is>
          <t>通过</t>
        </is>
      </c>
      <c r="K472" s="2" t="n"/>
      <c r="L472" s="2" t="n"/>
      <c r="M472" s="3" t="n"/>
      <c r="N472" s="2" t="n"/>
    </row>
    <row r="473">
      <c r="A473" s="2" t="n">
        <v>472</v>
      </c>
      <c r="B473" s="2" t="inlineStr">
        <is>
          <t>GE-18</t>
        </is>
      </c>
      <c r="C473" s="3" t="inlineStr">
        <is>
          <t>气体灭火控制器</t>
        </is>
      </c>
      <c r="D473" s="3" t="inlineStr">
        <is>
          <t>备电容量</t>
        </is>
      </c>
      <c r="E473" s="2" t="inlineStr">
        <is>
          <t>P2</t>
        </is>
      </c>
      <c r="F473" s="3" t="inlineStr">
        <is>
          <t>4.3.5.1 ↔ 5.3.4</t>
        </is>
      </c>
      <c r="G473" s="3" t="inlineStr">
        <is>
          <t>备电供电：正常监视 8 h → 启动状态 30 min</t>
        </is>
      </c>
      <c r="H473" s="3" t="inlineStr">
        <is>
          <t>全程正常工作</t>
        </is>
      </c>
      <c r="I473" s="3" t="n"/>
      <c r="J473" s="2" t="inlineStr">
        <is>
          <t>通过</t>
        </is>
      </c>
      <c r="K473" s="2" t="n"/>
      <c r="L473" s="2" t="n"/>
      <c r="M473" s="3" t="n"/>
      <c r="N473" s="2" t="n"/>
    </row>
    <row r="474">
      <c r="A474" s="2" t="n">
        <v>473</v>
      </c>
      <c r="B474" s="2" t="inlineStr">
        <is>
          <t>GE-19</t>
        </is>
      </c>
      <c r="C474" s="3" t="inlineStr">
        <is>
          <t>气体灭火控制器</t>
        </is>
      </c>
      <c r="D474" s="3" t="inlineStr">
        <is>
          <t>电压容限</t>
        </is>
      </c>
      <c r="E474" s="2" t="inlineStr">
        <is>
          <t>P0</t>
        </is>
      </c>
      <c r="F474" s="3" t="inlineStr">
        <is>
          <t>4.3.5.2 ↔ 5.3.4</t>
        </is>
      </c>
      <c r="G474" s="3" t="inlineStr">
        <is>
          <t>输入 187 V / 220 V / 242 V（频率偏差 ≤±1%）做基本功能试验</t>
        </is>
      </c>
      <c r="H474" s="3" t="inlineStr">
        <is>
          <t>全范围正常工作</t>
        </is>
      </c>
      <c r="I474" s="4" t="inlineStr">
        <is>
          <t>（未填写原因，需补）</t>
        </is>
      </c>
      <c r="J474" s="6" t="inlineStr">
        <is>
          <t>通过</t>
        </is>
      </c>
      <c r="K474" s="2" t="n"/>
      <c r="L474" s="2" t="inlineStr">
        <is>
          <t>2026-08-18</t>
        </is>
      </c>
      <c r="M474" s="3" t="n"/>
      <c r="N474" s="2" t="n"/>
    </row>
    <row r="475">
      <c r="A475" s="2" t="n">
        <v>474</v>
      </c>
      <c r="B475" s="2" t="inlineStr">
        <is>
          <t>GE-20</t>
        </is>
      </c>
      <c r="C475" s="3" t="inlineStr">
        <is>
          <t>气体灭火控制器</t>
        </is>
      </c>
      <c r="D475" s="3" t="inlineStr">
        <is>
          <t>现场数据断电保存</t>
        </is>
      </c>
      <c r="E475" s="2" t="inlineStr">
        <is>
          <t>P1</t>
        </is>
      </c>
      <c r="F475" s="3" t="inlineStr">
        <is>
          <t>4.1.5.2.4 b)</t>
        </is>
      </c>
      <c r="G475" s="3" t="inlineStr">
        <is>
          <t>断电 14 d 后上电检查现场设置数据</t>
        </is>
      </c>
      <c r="H475" s="3" t="inlineStr">
        <is>
          <t>保存 ≥14 d（或恢复供电 1 h 内可恢复）</t>
        </is>
      </c>
      <c r="I475" s="3" t="n"/>
      <c r="J475" s="2" t="inlineStr">
        <is>
          <t>通过</t>
        </is>
      </c>
      <c r="K475" s="2" t="n"/>
      <c r="L475" s="2" t="n"/>
      <c r="M475" s="3" t="n"/>
      <c r="N475" s="2" t="n"/>
    </row>
    <row r="476">
      <c r="A476" s="2" t="n">
        <v>475</v>
      </c>
      <c r="B476" s="2" t="inlineStr">
        <is>
          <t>GE-21</t>
        </is>
      </c>
      <c r="C476" s="3" t="inlineStr">
        <is>
          <t>气体灭火控制器</t>
        </is>
      </c>
      <c r="D476" s="3" t="inlineStr">
        <is>
          <t>数据输入防意外执行</t>
        </is>
      </c>
      <c r="E476" s="2" t="inlineStr">
        <is>
          <t>P1</t>
        </is>
      </c>
      <c r="F476" s="3" t="inlineStr">
        <is>
          <t>4.1.5.1.3</t>
        </is>
      </c>
      <c r="G476" s="3" t="inlineStr">
        <is>
          <t>各状态下输入数据</t>
        </is>
      </c>
      <c r="H476" s="3" t="inlineStr">
        <is>
          <t>不引起程序意外执行</t>
        </is>
      </c>
      <c r="I476" s="3" t="n"/>
      <c r="J476" s="2" t="inlineStr">
        <is>
          <t>通过</t>
        </is>
      </c>
      <c r="K476" s="2" t="n"/>
      <c r="L476" s="2" t="n"/>
      <c r="M476" s="3" t="n"/>
      <c r="N476" s="2" t="n"/>
    </row>
    <row r="477">
      <c r="A477" s="2" t="n">
        <v>476</v>
      </c>
      <c r="B477" s="2" t="inlineStr">
        <is>
          <t>EX-01</t>
        </is>
      </c>
      <c r="C477" s="3" t="inlineStr">
        <is>
          <t>结构与外观</t>
        </is>
      </c>
      <c r="D477" s="3" t="n"/>
      <c r="E477" s="2" t="inlineStr">
        <is>
          <t>—</t>
        </is>
      </c>
      <c r="F477" s="3" t="inlineStr">
        <is>
          <t>GB 4717 5.2；GB 16806 5.1.5</t>
        </is>
      </c>
      <c r="G477" s="3" t="inlineStr">
        <is>
          <t>外观与包装（总案）</t>
        </is>
      </c>
      <c r="H477" s="3" t="inlineStr">
        <is>
          <t>见子项</t>
        </is>
      </c>
      <c r="I477" s="3" t="n"/>
      <c r="J477" s="2" t="inlineStr">
        <is>
          <t>通过</t>
        </is>
      </c>
      <c r="K477" s="2" t="n"/>
      <c r="L477" s="2" t="n"/>
      <c r="M477" s="3" t="n"/>
      <c r="N477" s="2" t="n"/>
    </row>
    <row r="478">
      <c r="A478" s="2" t="n">
        <v>477</v>
      </c>
      <c r="B478" s="2" t="inlineStr">
        <is>
          <t>EX-01.1</t>
        </is>
      </c>
      <c r="C478" s="3" t="inlineStr">
        <is>
          <t>结构与外观</t>
        </is>
      </c>
      <c r="D478" s="3" t="inlineStr">
        <is>
          <t>包装与随机件</t>
        </is>
      </c>
      <c r="E478" s="2" t="inlineStr">
        <is>
          <t>—</t>
        </is>
      </c>
      <c r="F478" s="3" t="inlineStr">
        <is>
          <t>GB 4717 5.2；GB 16806 5.1.5</t>
        </is>
      </c>
      <c r="G478" s="3" t="inlineStr">
        <is>
          <t>（见父案步骤）</t>
        </is>
      </c>
      <c r="H478" s="3" t="inlineStr">
        <is>
          <t>完整包装、产品标志、合格标志、说明书</t>
        </is>
      </c>
      <c r="I478" s="3" t="n"/>
      <c r="J478" s="2" t="inlineStr">
        <is>
          <t>通过</t>
        </is>
      </c>
      <c r="K478" s="2" t="n"/>
      <c r="L478" s="2" t="n"/>
      <c r="M478" s="3" t="n"/>
      <c r="N478" s="2" t="n"/>
    </row>
    <row r="479">
      <c r="A479" s="2" t="n">
        <v>478</v>
      </c>
      <c r="B479" s="2" t="inlineStr">
        <is>
          <t>EX-01.2</t>
        </is>
      </c>
      <c r="C479" s="3" t="inlineStr">
        <is>
          <t>结构与外观</t>
        </is>
      </c>
      <c r="D479" s="3" t="inlineStr">
        <is>
          <t>表面质量</t>
        </is>
      </c>
      <c r="E479" s="2" t="inlineStr">
        <is>
          <t>—</t>
        </is>
      </c>
      <c r="F479" s="3" t="inlineStr">
        <is>
          <t>GB 4717 5.2；GB 16806 5.1.5</t>
        </is>
      </c>
      <c r="G479" s="3" t="inlineStr">
        <is>
          <t>（见父案步骤）</t>
        </is>
      </c>
      <c r="H479" s="3" t="inlineStr">
        <is>
          <t>无腐蚀/脱漆/划伤/毛刺</t>
        </is>
      </c>
      <c r="I479" s="3" t="n"/>
      <c r="J479" s="2" t="inlineStr">
        <is>
          <t>通过</t>
        </is>
      </c>
      <c r="K479" s="2" t="n"/>
      <c r="L479" s="2" t="n"/>
      <c r="M479" s="3" t="n"/>
      <c r="N479" s="2" t="n"/>
    </row>
    <row r="480">
      <c r="A480" s="2" t="n">
        <v>479</v>
      </c>
      <c r="B480" s="2" t="inlineStr">
        <is>
          <t>EX-01.3</t>
        </is>
      </c>
      <c r="C480" s="3" t="inlineStr">
        <is>
          <t>结构与外观</t>
        </is>
      </c>
      <c r="D480" s="3" t="inlineStr">
        <is>
          <t>紧固件</t>
        </is>
      </c>
      <c r="E480" s="2" t="inlineStr">
        <is>
          <t>—</t>
        </is>
      </c>
      <c r="F480" s="3" t="inlineStr">
        <is>
          <t>GB 4717 5.2；GB 16806 5.1.5</t>
        </is>
      </c>
      <c r="G480" s="3" t="inlineStr">
        <is>
          <t>（见父案步骤）</t>
        </is>
      </c>
      <c r="H480" s="3" t="inlineStr">
        <is>
          <t>紧固无松动</t>
        </is>
      </c>
      <c r="I480" s="3" t="n"/>
      <c r="J480" s="2" t="inlineStr">
        <is>
          <t>通过</t>
        </is>
      </c>
      <c r="K480" s="2" t="n"/>
      <c r="L480" s="2" t="n"/>
      <c r="M480" s="3" t="n"/>
      <c r="N480" s="2" t="n"/>
    </row>
    <row r="481">
      <c r="A481" s="2" t="n">
        <v>480</v>
      </c>
      <c r="B481" s="2" t="inlineStr">
        <is>
          <t>EX-02</t>
        </is>
      </c>
      <c r="C481" s="3" t="inlineStr">
        <is>
          <t>结构与外观</t>
        </is>
      </c>
      <c r="D481" s="3" t="n"/>
      <c r="E481" s="2" t="inlineStr">
        <is>
          <t>—</t>
        </is>
      </c>
      <c r="F481" s="3" t="inlineStr">
        <is>
          <t>GB 4717 5.3.1.2～5.3.1.4；GB 16806 4.3.1.1</t>
        </is>
      </c>
      <c r="G481" s="3" t="inlineStr">
        <is>
          <t>供电与接地（总案）</t>
        </is>
      </c>
      <c r="H481" s="3" t="inlineStr">
        <is>
          <t>见子项</t>
        </is>
      </c>
      <c r="I481" s="3" t="n"/>
      <c r="J481" s="2" t="inlineStr">
        <is>
          <t>通过</t>
        </is>
      </c>
      <c r="K481" s="2" t="n"/>
      <c r="L481" s="2" t="inlineStr">
        <is>
          <t>2026-09-03</t>
        </is>
      </c>
      <c r="M481" s="3" t="n"/>
      <c r="N481" s="2" t="n"/>
    </row>
    <row r="482">
      <c r="A482" s="2" t="n">
        <v>481</v>
      </c>
      <c r="B482" s="2" t="inlineStr">
        <is>
          <t>EX-02.1</t>
        </is>
      </c>
      <c r="C482" s="3" t="inlineStr">
        <is>
          <t>结构与外观</t>
        </is>
      </c>
      <c r="D482" s="3" t="inlineStr">
        <is>
          <t>主电规格</t>
        </is>
      </c>
      <c r="E482" s="2" t="inlineStr">
        <is>
          <t>—</t>
        </is>
      </c>
      <c r="F482" s="3" t="inlineStr">
        <is>
          <t>GB 4717 5.3.1.2；GB 16806 4.3.1.1</t>
        </is>
      </c>
      <c r="G482" s="3" t="inlineStr">
        <is>
          <t>（见父案步骤）</t>
        </is>
      </c>
      <c r="H482" s="3" t="inlineStr">
        <is>
          <t>主电 AC 220 V/50 Hz</t>
        </is>
      </c>
      <c r="I482" s="3" t="n"/>
      <c r="J482" s="2" t="inlineStr">
        <is>
          <t>通过</t>
        </is>
      </c>
      <c r="K482" s="2" t="n"/>
      <c r="L482" s="2" t="inlineStr">
        <is>
          <t>2026-09-03</t>
        </is>
      </c>
      <c r="M482" s="3" t="n"/>
      <c r="N482" s="2" t="n"/>
    </row>
    <row r="483">
      <c r="A483" s="2" t="n">
        <v>482</v>
      </c>
      <c r="B483" s="2" t="inlineStr">
        <is>
          <t>EX-02.2</t>
        </is>
      </c>
      <c r="C483" s="3" t="inlineStr">
        <is>
          <t>结构与外观</t>
        </is>
      </c>
      <c r="D483" s="3" t="inlineStr">
        <is>
          <t>保护接地</t>
        </is>
      </c>
      <c r="E483" s="2" t="inlineStr">
        <is>
          <t>—</t>
        </is>
      </c>
      <c r="F483" s="3" t="inlineStr">
        <is>
          <t>GB 4717 5.3.1.3</t>
        </is>
      </c>
      <c r="G483" s="3" t="inlineStr">
        <is>
          <t>（见父案步骤）</t>
        </is>
      </c>
      <c r="H483" s="3" t="inlineStr">
        <is>
          <t>保护接地</t>
        </is>
      </c>
      <c r="I483" s="3" t="n"/>
      <c r="J483" s="2" t="inlineStr">
        <is>
          <t>通过</t>
        </is>
      </c>
      <c r="K483" s="2" t="n"/>
      <c r="L483" s="2" t="inlineStr">
        <is>
          <t>2026-09-03</t>
        </is>
      </c>
      <c r="M483" s="3" t="n"/>
      <c r="N483" s="2" t="n"/>
    </row>
    <row r="484">
      <c r="A484" s="2" t="n">
        <v>483</v>
      </c>
      <c r="B484" s="2" t="inlineStr">
        <is>
          <t>EX-02.3</t>
        </is>
      </c>
      <c r="C484" s="3" t="inlineStr">
        <is>
          <t>结构与外观</t>
        </is>
      </c>
      <c r="D484" s="3" t="inlineStr">
        <is>
          <t>部件供电</t>
        </is>
      </c>
      <c r="E484" s="2" t="inlineStr">
        <is>
          <t>—</t>
        </is>
      </c>
      <c r="F484" s="3" t="inlineStr">
        <is>
          <t>GB 4717 5.3.1.4</t>
        </is>
      </c>
      <c r="G484" s="3" t="inlineStr">
        <is>
          <t>（见父案步骤）</t>
        </is>
      </c>
      <c r="H484" s="3" t="inlineStr">
        <is>
          <t>部件供电优先 DC 24 V</t>
        </is>
      </c>
      <c r="I484" s="3" t="n"/>
      <c r="J484" s="2" t="inlineStr">
        <is>
          <t>通过</t>
        </is>
      </c>
      <c r="K484" s="2" t="n"/>
      <c r="L484" s="2" t="inlineStr">
        <is>
          <t>2026-09-03</t>
        </is>
      </c>
      <c r="M484" s="3" t="n"/>
      <c r="N484" s="2" t="n"/>
    </row>
    <row r="485">
      <c r="A485" s="2" t="n">
        <v>484</v>
      </c>
      <c r="B485" s="2" t="inlineStr">
        <is>
          <t>EX-02.4</t>
        </is>
      </c>
      <c r="C485" s="3" t="inlineStr">
        <is>
          <t>结构与外观</t>
        </is>
      </c>
      <c r="D485" s="3" t="inlineStr">
        <is>
          <t>电源接线端子</t>
        </is>
      </c>
      <c r="E485" s="2" t="inlineStr">
        <is>
          <t>—</t>
        </is>
      </c>
      <c r="F485" s="3" t="inlineStr">
        <is>
          <t>GB 4717 5.3.1.2</t>
        </is>
      </c>
      <c r="G485" s="3" t="inlineStr">
        <is>
          <t>（见父案步骤）</t>
        </is>
      </c>
      <c r="H485" s="3" t="inlineStr">
        <is>
          <t>电源线独立接线端子</t>
        </is>
      </c>
      <c r="I485" s="3" t="n"/>
      <c r="J485" s="2" t="inlineStr">
        <is>
          <t>通过</t>
        </is>
      </c>
      <c r="K485" s="2" t="n"/>
      <c r="L485" s="2" t="inlineStr">
        <is>
          <t>2026-09-03</t>
        </is>
      </c>
      <c r="M485" s="3" t="n"/>
      <c r="N485" s="2" t="n"/>
    </row>
    <row r="486">
      <c r="A486" s="2" t="n">
        <v>485</v>
      </c>
      <c r="B486" s="2" t="inlineStr">
        <is>
          <t>EX-03</t>
        </is>
      </c>
      <c r="C486" s="3" t="inlineStr">
        <is>
          <t>结构与外观</t>
        </is>
      </c>
      <c r="D486" s="3" t="n"/>
      <c r="E486" s="2" t="inlineStr">
        <is>
          <t>—</t>
        </is>
      </c>
      <c r="F486" s="3" t="inlineStr">
        <is>
          <t>GB 4717 5.3.1.5/5.3.8</t>
        </is>
      </c>
      <c r="G486" s="3" t="inlineStr">
        <is>
          <t>按键与面板（报警控制器）（总案）</t>
        </is>
      </c>
      <c r="H486" s="3" t="inlineStr">
        <is>
          <t>见子项</t>
        </is>
      </c>
      <c r="I486" s="3" t="n"/>
      <c r="J486" s="2" t="inlineStr">
        <is>
          <t>通过</t>
        </is>
      </c>
      <c r="K486" s="2" t="n"/>
      <c r="L486" s="2" t="inlineStr">
        <is>
          <t>2026-09-03</t>
        </is>
      </c>
      <c r="M486" s="3" t="n"/>
      <c r="N486" s="2" t="n"/>
    </row>
    <row r="487">
      <c r="A487" s="2" t="n">
        <v>486</v>
      </c>
      <c r="B487" s="2" t="inlineStr">
        <is>
          <t>EX-03.1</t>
        </is>
      </c>
      <c r="C487" s="3" t="inlineStr">
        <is>
          <t>结构与外观</t>
        </is>
      </c>
      <c r="D487" s="3" t="inlineStr">
        <is>
          <t>按键尺寸间隔</t>
        </is>
      </c>
      <c r="E487" s="2" t="inlineStr">
        <is>
          <t>—</t>
        </is>
      </c>
      <c r="F487" s="3" t="inlineStr">
        <is>
          <t>GB 4717 5.3.1.5</t>
        </is>
      </c>
      <c r="G487" s="3" t="inlineStr">
        <is>
          <t>（见父案步骤）</t>
        </is>
      </c>
      <c r="H487" s="3" t="inlineStr">
        <is>
          <t>按键 ≥12 mm×12 mm（或 φ12）、间隔 ≥10 mm</t>
        </is>
      </c>
      <c r="I487" s="3" t="n"/>
      <c r="J487" s="2" t="inlineStr">
        <is>
          <t>通过</t>
        </is>
      </c>
      <c r="K487" s="2" t="n"/>
      <c r="L487" s="2" t="inlineStr">
        <is>
          <t>2026-09-03</t>
        </is>
      </c>
      <c r="M487" s="3" t="n"/>
      <c r="N487" s="2" t="n"/>
    </row>
    <row r="488">
      <c r="A488" s="2" t="n">
        <v>487</v>
      </c>
      <c r="B488" s="2" t="inlineStr">
        <is>
          <t>EX-03.2</t>
        </is>
      </c>
      <c r="C488" s="3" t="inlineStr">
        <is>
          <t>结构与外观</t>
        </is>
      </c>
      <c r="D488" s="3" t="inlineStr">
        <is>
          <t>布局排列</t>
        </is>
      </c>
      <c r="E488" s="2" t="inlineStr">
        <is>
          <t>—</t>
        </is>
      </c>
      <c r="F488" s="3" t="inlineStr">
        <is>
          <t>GB 4717 5.3.1.5</t>
        </is>
      </c>
      <c r="G488" s="3" t="inlineStr">
        <is>
          <t>（见父案步骤）</t>
        </is>
      </c>
      <c r="H488" s="3" t="inlineStr">
        <is>
          <t>指示灯/按键按标准图 1/图 2 顺序排列</t>
        </is>
      </c>
      <c r="I488" s="3" t="n"/>
      <c r="J488" s="2" t="inlineStr">
        <is>
          <t>通过</t>
        </is>
      </c>
      <c r="K488" s="2" t="n"/>
      <c r="L488" s="2" t="inlineStr">
        <is>
          <t>2026-09-03</t>
        </is>
      </c>
      <c r="M488" s="3" t="n"/>
      <c r="N488" s="2" t="n"/>
    </row>
    <row r="489">
      <c r="A489" s="2" t="n">
        <v>488</v>
      </c>
      <c r="B489" s="2" t="inlineStr">
        <is>
          <t>EX-03.3</t>
        </is>
      </c>
      <c r="C489" s="3" t="inlineStr">
        <is>
          <t>结构与外观</t>
        </is>
      </c>
      <c r="D489" s="3" t="inlineStr">
        <is>
          <t>中文标注</t>
        </is>
      </c>
      <c r="E489" s="2" t="inlineStr">
        <is>
          <t>—</t>
        </is>
      </c>
      <c r="F489" s="3" t="inlineStr">
        <is>
          <t>GB 4717 5.3.8</t>
        </is>
      </c>
      <c r="G489" s="3" t="inlineStr">
        <is>
          <t>（见父案步骤）</t>
        </is>
      </c>
      <c r="H489" s="3" t="inlineStr">
        <is>
          <t>中文标注</t>
        </is>
      </c>
      <c r="I489" s="3" t="n"/>
      <c r="J489" s="2" t="inlineStr">
        <is>
          <t>通过</t>
        </is>
      </c>
      <c r="K489" s="2" t="n"/>
      <c r="L489" s="2" t="inlineStr">
        <is>
          <t>2026-09-03</t>
        </is>
      </c>
      <c r="M489" s="3" t="n"/>
      <c r="N489" s="2" t="n"/>
    </row>
    <row r="490">
      <c r="A490" s="2" t="n">
        <v>489</v>
      </c>
      <c r="B490" s="2" t="inlineStr">
        <is>
          <t>EX-03.4</t>
        </is>
      </c>
      <c r="C490" s="3" t="inlineStr">
        <is>
          <t>结构与外观</t>
        </is>
      </c>
      <c r="D490" s="3" t="inlineStr">
        <is>
          <t>按键提示音</t>
        </is>
      </c>
      <c r="E490" s="2" t="inlineStr">
        <is>
          <t>—</t>
        </is>
      </c>
      <c r="F490" s="3" t="inlineStr">
        <is>
          <t>GB 4717 5.3.8</t>
        </is>
      </c>
      <c r="G490" s="3" t="inlineStr">
        <is>
          <t>（见父案步骤）</t>
        </is>
      </c>
      <c r="H490" s="3" t="inlineStr">
        <is>
          <t>按键有提示音</t>
        </is>
      </c>
      <c r="I490" s="3" t="n"/>
      <c r="J490" s="2" t="inlineStr">
        <is>
          <t>通过</t>
        </is>
      </c>
      <c r="K490" s="2" t="n"/>
      <c r="L490" s="2" t="inlineStr">
        <is>
          <t>2026-09-03</t>
        </is>
      </c>
      <c r="M490" s="3" t="n"/>
      <c r="N490" s="2" t="n"/>
    </row>
    <row r="491">
      <c r="A491" s="2" t="n">
        <v>490</v>
      </c>
      <c r="B491" s="2" t="inlineStr">
        <is>
          <t>EX-04</t>
        </is>
      </c>
      <c r="C491" s="3" t="inlineStr">
        <is>
          <t>结构与外观</t>
        </is>
      </c>
      <c r="D491" s="3" t="n"/>
      <c r="E491" s="2" t="inlineStr">
        <is>
          <t>—</t>
        </is>
      </c>
      <c r="F491" s="3" t="inlineStr">
        <is>
          <t>GB 4717 5.3.2.1；GB 16806 4.1.3.2.1</t>
        </is>
      </c>
      <c r="G491" s="3" t="inlineStr">
        <is>
          <t>指示灯颜色（总案，两标准分列）</t>
        </is>
      </c>
      <c r="H491" s="3" t="inlineStr">
        <is>
          <t>见子项</t>
        </is>
      </c>
      <c r="I491" s="3" t="n"/>
      <c r="J491" s="2" t="inlineStr">
        <is>
          <t>通过</t>
        </is>
      </c>
      <c r="K491" s="2" t="n"/>
      <c r="L491" s="2" t="inlineStr">
        <is>
          <t>2026-09-03</t>
        </is>
      </c>
      <c r="M491" s="3" t="n"/>
      <c r="N491" s="2" t="n"/>
    </row>
    <row r="492">
      <c r="A492" s="2" t="n">
        <v>491</v>
      </c>
      <c r="B492" s="2" t="inlineStr">
        <is>
          <t>EX-04.1</t>
        </is>
      </c>
      <c r="C492" s="3" t="inlineStr">
        <is>
          <t>结构与外观</t>
        </is>
      </c>
      <c r="D492" s="3" t="inlineStr">
        <is>
          <t>报警控制器灯色</t>
        </is>
      </c>
      <c r="E492" s="2" t="inlineStr">
        <is>
          <t>—</t>
        </is>
      </c>
      <c r="F492" s="3" t="inlineStr">
        <is>
          <t>GB 4717 5.3.2.1</t>
        </is>
      </c>
      <c r="G492" s="3" t="inlineStr">
        <is>
          <t>（见父案步骤）</t>
        </is>
      </c>
      <c r="H492" s="3" t="inlineStr">
        <is>
          <t>红=火警/监管/反馈/启动/延时/检查开启，黄=故障/系统故障/屏蔽/消音，绿=主备电/手动/自动/停止</t>
        </is>
      </c>
      <c r="I492" s="3" t="n"/>
      <c r="J492" s="2" t="inlineStr">
        <is>
          <t>通过</t>
        </is>
      </c>
      <c r="K492" s="2" t="n"/>
      <c r="L492" s="2" t="inlineStr">
        <is>
          <t>2026-09-03</t>
        </is>
      </c>
      <c r="M492" s="3" t="n"/>
      <c r="N492" s="2" t="n"/>
    </row>
    <row r="493">
      <c r="A493" s="2" t="n">
        <v>492</v>
      </c>
      <c r="B493" s="2" t="inlineStr">
        <is>
          <t>EX-04.2</t>
        </is>
      </c>
      <c r="C493" s="3" t="inlineStr">
        <is>
          <t>结构与外观</t>
        </is>
      </c>
      <c r="D493" s="3" t="inlineStr">
        <is>
          <t>气灭控制器灯色</t>
        </is>
      </c>
      <c r="E493" s="2" t="inlineStr">
        <is>
          <t>—</t>
        </is>
      </c>
      <c r="F493" s="3" t="inlineStr">
        <is>
          <t>GB 16806 4.1.3.2.1</t>
        </is>
      </c>
      <c r="G493" s="3" t="inlineStr">
        <is>
          <t>（见父案步骤）</t>
        </is>
      </c>
      <c r="H493" s="3" t="inlineStr">
        <is>
          <t>红=火警/反馈/启动和延时，黄=故障/屏蔽/回路自检，绿=主备电</t>
        </is>
      </c>
      <c r="I493" s="3" t="n"/>
      <c r="J493" s="2" t="inlineStr">
        <is>
          <t>通过</t>
        </is>
      </c>
      <c r="K493" s="2" t="n"/>
      <c r="L493" s="2" t="inlineStr">
        <is>
          <t>2026-09-03</t>
        </is>
      </c>
      <c r="M493" s="3" t="n"/>
      <c r="N493" s="2" t="n"/>
    </row>
    <row r="494">
      <c r="A494" s="2" t="n">
        <v>493</v>
      </c>
      <c r="B494" s="2" t="inlineStr">
        <is>
          <t>EX-05</t>
        </is>
      </c>
      <c r="C494" s="3" t="inlineStr">
        <is>
          <t>结构与外观</t>
        </is>
      </c>
      <c r="D494" s="3" t="n"/>
      <c r="E494" s="2" t="inlineStr">
        <is>
          <t>—</t>
        </is>
      </c>
      <c r="F494" s="3" t="inlineStr">
        <is>
          <t>GB 4717 5.3.2.2；GB 16806 4.1.3.2</t>
        </is>
      </c>
      <c r="G494" s="3" t="inlineStr">
        <is>
          <t>指示灯可见性与闪动参数（总案，两标准分列）</t>
        </is>
      </c>
      <c r="H494" s="3" t="inlineStr">
        <is>
          <t>见子项</t>
        </is>
      </c>
      <c r="I494" s="3" t="n"/>
      <c r="J494" s="2" t="inlineStr">
        <is>
          <t>通过</t>
        </is>
      </c>
      <c r="K494" s="2" t="n"/>
      <c r="L494" s="2" t="inlineStr">
        <is>
          <t>2026-09-03</t>
        </is>
      </c>
      <c r="M494" s="3" t="n"/>
      <c r="N494" s="2" t="n"/>
    </row>
    <row r="495">
      <c r="A495" s="2" t="n">
        <v>494</v>
      </c>
      <c r="B495" s="2" t="inlineStr">
        <is>
          <t>EX-05.1</t>
        </is>
      </c>
      <c r="C495" s="3" t="inlineStr">
        <is>
          <t>结构与外观</t>
        </is>
      </c>
      <c r="D495" s="3" t="inlineStr">
        <is>
          <t>报警控制器可见性</t>
        </is>
      </c>
      <c r="E495" s="2" t="inlineStr">
        <is>
          <t>—</t>
        </is>
      </c>
      <c r="F495" s="3" t="inlineStr">
        <is>
          <t>GB 4717 5.3.2.2</t>
        </is>
      </c>
      <c r="G495" s="3" t="inlineStr">
        <is>
          <t>（见父案步骤）</t>
        </is>
      </c>
      <c r="H495" s="3" t="inlineStr">
        <is>
          <t>100～500 lx、22.5°，0.8 m/3 m</t>
        </is>
      </c>
      <c r="I495" s="3" t="n"/>
      <c r="J495" s="2" t="inlineStr">
        <is>
          <t>通过</t>
        </is>
      </c>
      <c r="K495" s="2" t="n"/>
      <c r="L495" s="2" t="n"/>
      <c r="M495" s="3" t="n"/>
      <c r="N495" s="2" t="n"/>
    </row>
    <row r="496">
      <c r="A496" s="2" t="n">
        <v>495</v>
      </c>
      <c r="B496" s="2" t="inlineStr">
        <is>
          <t>EX-05.2</t>
        </is>
      </c>
      <c r="C496" s="3" t="inlineStr">
        <is>
          <t>结构与外观</t>
        </is>
      </c>
      <c r="D496" s="3" t="inlineStr">
        <is>
          <t>气灭控制器可见性</t>
        </is>
      </c>
      <c r="E496" s="2" t="inlineStr">
        <is>
          <t>—</t>
        </is>
      </c>
      <c r="F496" s="3" t="inlineStr">
        <is>
          <t>GB 16806 4.1.3.2</t>
        </is>
      </c>
      <c r="G496" s="3" t="inlineStr">
        <is>
          <t>（见父案步骤）</t>
        </is>
      </c>
      <c r="H496" s="3" t="inlineStr">
        <is>
          <t>5～500 lx、22.5°、3 m</t>
        </is>
      </c>
      <c r="I496" s="3" t="n"/>
      <c r="J496" s="2" t="inlineStr">
        <is>
          <t>通过</t>
        </is>
      </c>
      <c r="K496" s="2" t="n"/>
      <c r="L496" s="2" t="n"/>
      <c r="M496" s="3" t="n"/>
      <c r="N496" s="2" t="n"/>
    </row>
    <row r="497">
      <c r="A497" s="2" t="n">
        <v>496</v>
      </c>
      <c r="B497" s="2" t="inlineStr">
        <is>
          <t>EX-05.3</t>
        </is>
      </c>
      <c r="C497" s="3" t="inlineStr">
        <is>
          <t>结构与外观</t>
        </is>
      </c>
      <c r="D497" s="3" t="inlineStr">
        <is>
          <t>气灭闪动参数</t>
        </is>
      </c>
      <c r="E497" s="2" t="inlineStr">
        <is>
          <t>—</t>
        </is>
      </c>
      <c r="F497" s="3" t="inlineStr">
        <is>
          <t>GB 16806 4.1.3.2</t>
        </is>
      </c>
      <c r="G497" s="3" t="inlineStr">
        <is>
          <t>（见父案步骤）</t>
        </is>
      </c>
      <c r="H497" s="3" t="inlineStr">
        <is>
          <t>闪动灯单次点亮 ≥0.25 s，启动灯闪频 ≥1 Hz、故障灯 ≥0.2 Hz</t>
        </is>
      </c>
      <c r="I497" s="3" t="n"/>
      <c r="J497" s="2" t="inlineStr">
        <is>
          <t>通过</t>
        </is>
      </c>
      <c r="K497" s="2" t="n"/>
      <c r="L497" s="2" t="inlineStr">
        <is>
          <t>2026-09-03</t>
        </is>
      </c>
      <c r="M497" s="3" t="n"/>
      <c r="N497" s="2" t="n"/>
    </row>
    <row r="498">
      <c r="A498" s="2" t="n">
        <v>497</v>
      </c>
      <c r="B498" s="2" t="inlineStr">
        <is>
          <t>EX-05.4</t>
        </is>
      </c>
      <c r="C498" s="3" t="inlineStr">
        <is>
          <t>结构与外观</t>
        </is>
      </c>
      <c r="D498" s="3" t="inlineStr">
        <is>
          <t>气灭一灯兼显规则</t>
        </is>
      </c>
      <c r="E498" s="2" t="inlineStr">
        <is>
          <t>—</t>
        </is>
      </c>
      <c r="F498" s="3" t="inlineStr">
        <is>
          <t>GB 16806 4.1.3.2</t>
        </is>
      </c>
      <c r="G498" s="3" t="inlineStr">
        <is>
          <t>（见父案步骤）</t>
        </is>
      </c>
      <c r="H498" s="3" t="inlineStr">
        <is>
          <t>一灯兼显故障/屏蔽/自检时：故障闪亮、屏蔽与自检常亮</t>
        </is>
      </c>
      <c r="I498" s="3" t="n"/>
      <c r="J498" s="2" t="inlineStr">
        <is>
          <t>通过</t>
        </is>
      </c>
      <c r="K498" s="2" t="n"/>
      <c r="L498" s="2" t="inlineStr">
        <is>
          <t>2026-09-03</t>
        </is>
      </c>
      <c r="M498" s="3" t="n"/>
      <c r="N498" s="2" t="n"/>
    </row>
    <row r="499">
      <c r="A499" s="2" t="n">
        <v>498</v>
      </c>
      <c r="B499" s="2" t="inlineStr">
        <is>
          <t>EX-06</t>
        </is>
      </c>
      <c r="C499" s="3" t="inlineStr">
        <is>
          <t>结构与外观</t>
        </is>
      </c>
      <c r="D499" s="3" t="n"/>
      <c r="E499" s="2" t="inlineStr">
        <is>
          <t>—</t>
        </is>
      </c>
      <c r="F499" s="3" t="inlineStr">
        <is>
          <t>GB 4717 5.3.1.8/5.3.1.9</t>
        </is>
      </c>
      <c r="G499" s="3" t="inlineStr">
        <is>
          <t>外壳防护与燃烧（报警控制器）（总案）</t>
        </is>
      </c>
      <c r="H499" s="3" t="inlineStr">
        <is>
          <t>见子项</t>
        </is>
      </c>
      <c r="I499" s="3" t="n"/>
      <c r="J499" s="2" t="inlineStr">
        <is>
          <t>通过</t>
        </is>
      </c>
      <c r="K499" s="2" t="n"/>
      <c r="L499" s="2" t="inlineStr">
        <is>
          <t>2026-09-03</t>
        </is>
      </c>
      <c r="M499" s="3" t="n"/>
      <c r="N499" s="2" t="n"/>
    </row>
    <row r="500">
      <c r="A500" s="2" t="n">
        <v>499</v>
      </c>
      <c r="B500" s="2" t="inlineStr">
        <is>
          <t>EX-06.1</t>
        </is>
      </c>
      <c r="C500" s="3" t="inlineStr">
        <is>
          <t>结构与外观</t>
        </is>
      </c>
      <c r="D500" s="3" t="inlineStr">
        <is>
          <t>防护等级</t>
        </is>
      </c>
      <c r="E500" s="2" t="inlineStr">
        <is>
          <t>—</t>
        </is>
      </c>
      <c r="F500" s="3" t="inlineStr">
        <is>
          <t>GB 4717 5.3.1.8</t>
        </is>
      </c>
      <c r="G500" s="3" t="inlineStr">
        <is>
          <t>（见父案步骤）</t>
        </is>
      </c>
      <c r="H500" s="3" t="inlineStr">
        <is>
          <t>≥IP30</t>
        </is>
      </c>
      <c r="I500" s="3" t="n"/>
      <c r="J500" s="2" t="inlineStr">
        <is>
          <t>通过</t>
        </is>
      </c>
      <c r="K500" s="2" t="n"/>
      <c r="L500" s="2" t="n"/>
      <c r="M500" s="3" t="n"/>
      <c r="N500" s="2" t="n"/>
    </row>
    <row r="501">
      <c r="A501" s="2" t="n">
        <v>500</v>
      </c>
      <c r="B501" s="2" t="inlineStr">
        <is>
          <t>EX-06.2</t>
        </is>
      </c>
      <c r="C501" s="3" t="inlineStr">
        <is>
          <t>结构与外观</t>
        </is>
      </c>
      <c r="D501" s="3" t="inlineStr">
        <is>
          <t>非金属外壳燃烧</t>
        </is>
      </c>
      <c r="E501" s="2" t="inlineStr">
        <is>
          <t>—</t>
        </is>
      </c>
      <c r="F501" s="3" t="inlineStr">
        <is>
          <t>GB 4717 5.3.1.9</t>
        </is>
      </c>
      <c r="G501" s="3" t="inlineStr">
        <is>
          <t>（见父案步骤）</t>
        </is>
      </c>
      <c r="H501" s="3" t="inlineStr">
        <is>
          <t>非金属外壳过附录 A 燃烧试验（样块 80×10 mm，燃烧长度 ≤50 mm）</t>
        </is>
      </c>
      <c r="I501" s="3" t="n"/>
      <c r="J501" s="2" t="inlineStr">
        <is>
          <t>不适用</t>
        </is>
      </c>
      <c r="K501" s="2" t="n"/>
      <c r="L501" s="2" t="n"/>
      <c r="M501" s="3" t="n"/>
      <c r="N501" s="2" t="n"/>
    </row>
    <row r="502">
      <c r="A502" s="2" t="n">
        <v>501</v>
      </c>
      <c r="B502" s="2" t="inlineStr">
        <is>
          <t>EX-07</t>
        </is>
      </c>
      <c r="C502" s="3" t="inlineStr">
        <is>
          <t>结构与外观</t>
        </is>
      </c>
      <c r="D502" s="3" t="n"/>
      <c r="E502" s="2" t="inlineStr">
        <is>
          <t>—</t>
        </is>
      </c>
      <c r="F502" s="3" t="inlineStr">
        <is>
          <t>GB 4717 5.3.4；GB 16806 4.1.3.4.1</t>
        </is>
      </c>
      <c r="G502" s="3" t="inlineStr">
        <is>
          <t>音响器件（总案，两标准分列）</t>
        </is>
      </c>
      <c r="H502" s="3" t="inlineStr">
        <is>
          <t>见子项</t>
        </is>
      </c>
      <c r="I502" s="4" t="inlineStr">
        <is>
          <t>（未填写原因，需补）</t>
        </is>
      </c>
      <c r="J502" s="6" t="inlineStr">
        <is>
          <t>通过</t>
        </is>
      </c>
      <c r="K502" s="2" t="n"/>
      <c r="L502" s="2" t="inlineStr">
        <is>
          <t>2026-08-18</t>
        </is>
      </c>
      <c r="M502" s="3" t="n"/>
      <c r="N502" s="2" t="n"/>
    </row>
    <row r="503">
      <c r="A503" s="2" t="n">
        <v>502</v>
      </c>
      <c r="B503" s="2" t="inlineStr">
        <is>
          <t>EX-07.1</t>
        </is>
      </c>
      <c r="C503" s="3" t="inlineStr">
        <is>
          <t>结构与外观</t>
        </is>
      </c>
      <c r="D503" s="3" t="inlineStr">
        <is>
          <t>报警控制器声压级</t>
        </is>
      </c>
      <c r="E503" s="2" t="inlineStr">
        <is>
          <t>—</t>
        </is>
      </c>
      <c r="F503" s="3" t="inlineStr">
        <is>
          <t>GB 4717 5.3.4</t>
        </is>
      </c>
      <c r="G503" s="3" t="inlineStr">
        <is>
          <t>（见父案步骤）</t>
        </is>
      </c>
      <c r="H503" s="3" t="inlineStr">
        <is>
          <t>1 m 处 65～105 dB(A)</t>
        </is>
      </c>
      <c r="I503" s="4" t="inlineStr">
        <is>
          <t>（未填写原因，需补）</t>
        </is>
      </c>
      <c r="J503" s="6" t="inlineStr">
        <is>
          <t>通过</t>
        </is>
      </c>
      <c r="K503" s="2" t="n"/>
      <c r="L503" s="2" t="inlineStr">
        <is>
          <t>2026-09-03</t>
        </is>
      </c>
      <c r="M503" s="3" t="n"/>
      <c r="N503" s="2" t="n"/>
    </row>
    <row r="504">
      <c r="A504" s="2" t="n">
        <v>503</v>
      </c>
      <c r="B504" s="2" t="inlineStr">
        <is>
          <t>EX-07.2</t>
        </is>
      </c>
      <c r="C504" s="3" t="inlineStr">
        <is>
          <t>结构与外观</t>
        </is>
      </c>
      <c r="D504" s="3" t="inlineStr">
        <is>
          <t>报警控制器接线防脱</t>
        </is>
      </c>
      <c r="E504" s="2" t="inlineStr">
        <is>
          <t>—</t>
        </is>
      </c>
      <c r="F504" s="3" t="inlineStr">
        <is>
          <t>GB 4717 5.3.4</t>
        </is>
      </c>
      <c r="G504" s="3" t="inlineStr">
        <is>
          <t>（见父案步骤）</t>
        </is>
      </c>
      <c r="H504" s="3" t="inlineStr">
        <is>
          <t>接线防脱耐 50 N</t>
        </is>
      </c>
      <c r="I504" s="4" t="inlineStr">
        <is>
          <t>（未填写原因，需补）</t>
        </is>
      </c>
      <c r="J504" s="6" t="inlineStr">
        <is>
          <t>通过</t>
        </is>
      </c>
      <c r="K504" s="2" t="n"/>
      <c r="L504" s="2" t="inlineStr">
        <is>
          <t>2026-09-03</t>
        </is>
      </c>
      <c r="M504" s="3" t="n"/>
      <c r="N504" s="2" t="n"/>
    </row>
    <row r="505">
      <c r="A505" s="2" t="n">
        <v>504</v>
      </c>
      <c r="B505" s="2" t="inlineStr">
        <is>
          <t>EX-07.3</t>
        </is>
      </c>
      <c r="C505" s="3" t="inlineStr">
        <is>
          <t>结构与外观</t>
        </is>
      </c>
      <c r="D505" s="3" t="inlineStr">
        <is>
          <t>气灭控制器声压级</t>
        </is>
      </c>
      <c r="E505" s="2" t="inlineStr">
        <is>
          <t>—</t>
        </is>
      </c>
      <c r="F505" s="3" t="inlineStr">
        <is>
          <t>GB 16806 4.1.3.4.1</t>
        </is>
      </c>
      <c r="G505" s="3" t="inlineStr">
        <is>
          <t>（见父案步骤）</t>
        </is>
      </c>
      <c r="H505" s="3" t="inlineStr">
        <is>
          <t>1 m 处 &gt;65 且 &lt;115 dB(A)</t>
        </is>
      </c>
      <c r="I505" s="4" t="inlineStr">
        <is>
          <t>（未填写原因，需补）</t>
        </is>
      </c>
      <c r="J505" s="6" t="inlineStr">
        <is>
          <t>通过</t>
        </is>
      </c>
      <c r="K505" s="2" t="n"/>
      <c r="L505" s="2" t="inlineStr">
        <is>
          <t>2026-09-03</t>
        </is>
      </c>
      <c r="M505" s="3" t="n"/>
      <c r="N505" s="2" t="n"/>
    </row>
    <row r="506">
      <c r="A506" s="2" t="n">
        <v>505</v>
      </c>
      <c r="B506" s="2" t="inlineStr">
        <is>
          <t>EX-07.4</t>
        </is>
      </c>
      <c r="C506" s="3" t="inlineStr">
        <is>
          <t>结构与外观</t>
        </is>
      </c>
      <c r="D506" s="3" t="inlineStr">
        <is>
          <t>低压发声</t>
        </is>
      </c>
      <c r="E506" s="2" t="inlineStr">
        <is>
          <t>—</t>
        </is>
      </c>
      <c r="F506" s="3" t="inlineStr">
        <is>
          <t>两标准</t>
        </is>
      </c>
      <c r="G506" s="3" t="inlineStr">
        <is>
          <t>（见父案步骤）</t>
        </is>
      </c>
      <c r="H506" s="3" t="inlineStr">
        <is>
          <t>两者：85% 额定电压下正常发声</t>
        </is>
      </c>
      <c r="I506" s="4" t="inlineStr">
        <is>
          <t>（未填写原因，需补）</t>
        </is>
      </c>
      <c r="J506" s="6" t="inlineStr">
        <is>
          <t>通过</t>
        </is>
      </c>
      <c r="K506" s="2" t="n"/>
      <c r="L506" s="2" t="inlineStr">
        <is>
          <t>2026-09-03</t>
        </is>
      </c>
      <c r="M506" s="3" t="n"/>
      <c r="N506" s="2" t="n"/>
    </row>
    <row r="507">
      <c r="A507" s="2" t="n">
        <v>506</v>
      </c>
      <c r="B507" s="2" t="inlineStr">
        <is>
          <t>EX-08</t>
        </is>
      </c>
      <c r="C507" s="3" t="inlineStr">
        <is>
          <t>结构与外观</t>
        </is>
      </c>
      <c r="D507" s="3" t="n"/>
      <c r="E507" s="2" t="inlineStr">
        <is>
          <t>—</t>
        </is>
      </c>
      <c r="F507" s="3" t="inlineStr">
        <is>
          <t>GB 4717 5.3.5；GB 16806 4.1.3.5</t>
        </is>
      </c>
      <c r="G507" s="3" t="inlineStr">
        <is>
          <t>过负荷/熔断器（总案）</t>
        </is>
      </c>
      <c r="H507" s="3" t="inlineStr">
        <is>
          <t>见子项</t>
        </is>
      </c>
      <c r="I507" s="3" t="n"/>
      <c r="J507" s="2" t="inlineStr">
        <is>
          <t>通过</t>
        </is>
      </c>
      <c r="K507" s="2" t="n"/>
      <c r="L507" s="2" t="inlineStr">
        <is>
          <t>2026-09-03</t>
        </is>
      </c>
      <c r="M507" s="3" t="n"/>
      <c r="N507" s="2" t="n"/>
    </row>
    <row r="508">
      <c r="A508" s="2" t="n">
        <v>507</v>
      </c>
      <c r="B508" s="2" t="inlineStr">
        <is>
          <t>EX-08.1</t>
        </is>
      </c>
      <c r="C508" s="3" t="inlineStr">
        <is>
          <t>结构与外观</t>
        </is>
      </c>
      <c r="D508" s="3" t="inlineStr">
        <is>
          <t>保护设定</t>
        </is>
      </c>
      <c r="E508" s="2" t="inlineStr">
        <is>
          <t>—</t>
        </is>
      </c>
      <c r="F508" s="3" t="inlineStr">
        <is>
          <t>GB 4717 5.3.5；GB 16806 4.1.3.5</t>
        </is>
      </c>
      <c r="G508" s="3" t="inlineStr">
        <is>
          <t>（见父案步骤）</t>
        </is>
      </c>
      <c r="H508" s="3" t="inlineStr">
        <is>
          <t>保护设定 ≤2 倍额定电流（&gt;6 A 时 1.5 倍）</t>
        </is>
      </c>
      <c r="I508" s="3" t="n"/>
      <c r="J508" s="2" t="inlineStr">
        <is>
          <t>通过</t>
        </is>
      </c>
      <c r="K508" s="2" t="n"/>
      <c r="L508" s="2" t="inlineStr">
        <is>
          <t>2026-09-03</t>
        </is>
      </c>
      <c r="M508" s="3" t="n"/>
      <c r="N508" s="2" t="n"/>
    </row>
    <row r="509">
      <c r="A509" s="2" t="n">
        <v>508</v>
      </c>
      <c r="B509" s="2" t="inlineStr">
        <is>
          <t>EX-08.2</t>
        </is>
      </c>
      <c r="C509" s="3" t="inlineStr">
        <is>
          <t>结构与外观</t>
        </is>
      </c>
      <c r="D509" s="3" t="inlineStr">
        <is>
          <t>参数标识</t>
        </is>
      </c>
      <c r="E509" s="2" t="inlineStr">
        <is>
          <t>—</t>
        </is>
      </c>
      <c r="F509" s="3" t="inlineStr">
        <is>
          <t>GB 4717 5.3.5；GB 16806 4.1.3.5</t>
        </is>
      </c>
      <c r="G509" s="3" t="inlineStr">
        <is>
          <t>（见父案步骤）</t>
        </is>
      </c>
      <c r="H509" s="3" t="inlineStr">
        <is>
          <t>参数标识清晰（GB 4717 另要求字高 ≥1.5 mm、DC/AC 分标）</t>
        </is>
      </c>
      <c r="I509" s="3" t="n"/>
      <c r="J509" s="2" t="inlineStr">
        <is>
          <t>通过</t>
        </is>
      </c>
      <c r="K509" s="2" t="n"/>
      <c r="L509" s="2" t="inlineStr">
        <is>
          <t>2026-09-03</t>
        </is>
      </c>
      <c r="M509" s="3" t="n"/>
      <c r="N509" s="2" t="n"/>
    </row>
    <row r="510">
      <c r="A510" s="2" t="n">
        <v>509</v>
      </c>
      <c r="B510" s="2" t="inlineStr">
        <is>
          <t>EX-09</t>
        </is>
      </c>
      <c r="C510" s="3" t="inlineStr">
        <is>
          <t>结构与外观</t>
        </is>
      </c>
      <c r="D510" s="3" t="n"/>
      <c r="E510" s="2" t="inlineStr">
        <is>
          <t>—</t>
        </is>
      </c>
      <c r="F510" s="3" t="inlineStr">
        <is>
          <t>GB 4717 5.3.6/5.3.7.2；GB 16806 4.1.3.6/4.1.3.7.1/4.1.3.9</t>
        </is>
      </c>
      <c r="G510" s="3" t="inlineStr">
        <is>
          <t>端子与导线（总案）</t>
        </is>
      </c>
      <c r="H510" s="3" t="inlineStr">
        <is>
          <t>见子项</t>
        </is>
      </c>
      <c r="I510" s="3" t="n"/>
      <c r="J510" s="2" t="inlineStr">
        <is>
          <t>通过</t>
        </is>
      </c>
      <c r="K510" s="2" t="n"/>
      <c r="L510" s="2" t="inlineStr">
        <is>
          <t>2026-09-03</t>
        </is>
      </c>
      <c r="M510" s="3" t="n"/>
      <c r="N510" s="2" t="n"/>
    </row>
    <row r="511">
      <c r="A511" s="2" t="n">
        <v>510</v>
      </c>
      <c r="B511" s="2" t="inlineStr">
        <is>
          <t>EX-09.1</t>
        </is>
      </c>
      <c r="C511" s="3" t="inlineStr">
        <is>
          <t>结构与外观</t>
        </is>
      </c>
      <c r="D511" s="3" t="inlineStr">
        <is>
          <t>端子编号</t>
        </is>
      </c>
      <c r="E511" s="2" t="inlineStr">
        <is>
          <t>—</t>
        </is>
      </c>
      <c r="F511" s="3" t="inlineStr">
        <is>
          <t>GB 4717 5.3.6</t>
        </is>
      </c>
      <c r="G511" s="3" t="inlineStr">
        <is>
          <t>（见父案步骤）</t>
        </is>
      </c>
      <c r="H511" s="3" t="inlineStr">
        <is>
          <t>端子编号清晰</t>
        </is>
      </c>
      <c r="I511" s="3" t="n"/>
      <c r="J511" s="2" t="inlineStr">
        <is>
          <t>待测</t>
        </is>
      </c>
      <c r="K511" s="2" t="n"/>
      <c r="L511" s="2" t="inlineStr">
        <is>
          <t>2026-09-03</t>
        </is>
      </c>
      <c r="M511" s="3" t="n"/>
      <c r="N511" s="2" t="n"/>
    </row>
    <row r="512">
      <c r="A512" s="2" t="n">
        <v>511</v>
      </c>
      <c r="B512" s="2" t="inlineStr">
        <is>
          <t>EX-09.2</t>
        </is>
      </c>
      <c r="C512" s="3" t="inlineStr">
        <is>
          <t>结构与外观</t>
        </is>
      </c>
      <c r="D512" s="3" t="inlineStr">
        <is>
          <t>电池线色</t>
        </is>
      </c>
      <c r="E512" s="2" t="inlineStr">
        <is>
          <t>—</t>
        </is>
      </c>
      <c r="F512" s="3" t="inlineStr">
        <is>
          <t>GB 4717 5.3.7.2</t>
        </is>
      </c>
      <c r="G512" s="3" t="inlineStr">
        <is>
          <t>（见父案步骤）</t>
        </is>
      </c>
      <c r="H512" s="3" t="inlineStr">
        <is>
          <t>电池正极红线、负极黑/蓝线</t>
        </is>
      </c>
      <c r="I512" s="3" t="n"/>
      <c r="J512" s="2" t="inlineStr">
        <is>
          <t>通过</t>
        </is>
      </c>
      <c r="K512" s="2" t="n"/>
      <c r="L512" s="2" t="inlineStr">
        <is>
          <t>2026-09-03</t>
        </is>
      </c>
      <c r="M512" s="3" t="n"/>
      <c r="N512" s="2" t="n"/>
    </row>
    <row r="513">
      <c r="A513" s="2" t="n">
        <v>512</v>
      </c>
      <c r="B513" s="2" t="inlineStr">
        <is>
          <t>EX-09.3</t>
        </is>
      </c>
      <c r="C513" s="3" t="inlineStr">
        <is>
          <t>结构与外观</t>
        </is>
      </c>
      <c r="D513" s="3" t="inlineStr">
        <is>
          <t>配线阻燃</t>
        </is>
      </c>
      <c r="E513" s="2" t="inlineStr">
        <is>
          <t>—</t>
        </is>
      </c>
      <c r="F513" s="3" t="inlineStr">
        <is>
          <t>GB 16806 4.1.3.9</t>
        </is>
      </c>
      <c r="G513" s="3" t="inlineStr">
        <is>
          <t>（见父案步骤）</t>
        </is>
      </c>
      <c r="H513" s="3" t="inlineStr">
        <is>
          <t>（GB 16806）主电路配线阻燃（工作温度 &gt;105℃）、线槽氧指数 ≥28</t>
        </is>
      </c>
      <c r="I513" s="3" t="n"/>
      <c r="J513" s="2" t="inlineStr">
        <is>
          <t>通过</t>
        </is>
      </c>
      <c r="K513" s="2" t="n"/>
      <c r="L513" s="2" t="inlineStr">
        <is>
          <t>2026-09-03</t>
        </is>
      </c>
      <c r="M513" s="3" t="n"/>
      <c r="N513" s="2" t="n"/>
    </row>
    <row r="514">
      <c r="A514" s="2" t="n">
        <v>513</v>
      </c>
      <c r="B514" s="2" t="inlineStr">
        <is>
          <t>EX-10</t>
        </is>
      </c>
      <c r="C514" s="3" t="inlineStr">
        <is>
          <t>结构与外观</t>
        </is>
      </c>
      <c r="D514" s="3" t="n"/>
      <c r="E514" s="2" t="inlineStr">
        <is>
          <t>—</t>
        </is>
      </c>
      <c r="F514" s="3" t="inlineStr">
        <is>
          <t>GB 16806 4.1.3.10</t>
        </is>
      </c>
      <c r="G514" s="3" t="inlineStr">
        <is>
          <t>元件温升（气灭控制器）（总案）</t>
        </is>
      </c>
      <c r="H514" s="3" t="inlineStr">
        <is>
          <t>见子项</t>
        </is>
      </c>
      <c r="I514" s="3" t="n"/>
      <c r="J514" s="2" t="inlineStr">
        <is>
          <t>通过</t>
        </is>
      </c>
      <c r="K514" s="2" t="n"/>
      <c r="L514" s="2" t="inlineStr">
        <is>
          <t>2026-09-03</t>
        </is>
      </c>
      <c r="M514" s="3" t="n"/>
      <c r="N514" s="2" t="n"/>
    </row>
    <row r="515">
      <c r="A515" s="2" t="n">
        <v>514</v>
      </c>
      <c r="B515" s="2" t="inlineStr">
        <is>
          <t>EX-10.1</t>
        </is>
      </c>
      <c r="C515" s="3" t="inlineStr">
        <is>
          <t>结构与外观</t>
        </is>
      </c>
      <c r="D515" s="3" t="inlineStr">
        <is>
          <t>主要元件温升</t>
        </is>
      </c>
      <c r="E515" s="2" t="inlineStr">
        <is>
          <t>—</t>
        </is>
      </c>
      <c r="F515" s="3" t="inlineStr">
        <is>
          <t>GB 16806 4.1.3.10</t>
        </is>
      </c>
      <c r="G515" s="3" t="inlineStr">
        <is>
          <t>（见父案步骤）</t>
        </is>
      </c>
      <c r="H515" s="3" t="inlineStr">
        <is>
          <t>主要元件温升 ≤60℃</t>
        </is>
      </c>
      <c r="I515" s="3" t="n"/>
      <c r="J515" s="2" t="inlineStr">
        <is>
          <t>通过</t>
        </is>
      </c>
      <c r="K515" s="2" t="n"/>
      <c r="L515" s="2" t="inlineStr">
        <is>
          <t>2026-09-03</t>
        </is>
      </c>
      <c r="M515" s="3" t="n"/>
      <c r="N515" s="2" t="n"/>
    </row>
    <row r="516">
      <c r="A516" s="2" t="n">
        <v>515</v>
      </c>
      <c r="B516" s="2" t="inlineStr">
        <is>
          <t>EX-10.2</t>
        </is>
      </c>
      <c r="C516" s="3" t="inlineStr">
        <is>
          <t>结构与外观</t>
        </is>
      </c>
      <c r="D516" s="3" t="inlineStr">
        <is>
          <t>变压器表面</t>
        </is>
      </c>
      <c r="E516" s="2" t="inlineStr">
        <is>
          <t>—</t>
        </is>
      </c>
      <c r="F516" s="3" t="inlineStr">
        <is>
          <t>GB 16806 4.1.3.10</t>
        </is>
      </c>
      <c r="G516" s="3" t="inlineStr">
        <is>
          <t>（见父案步骤）</t>
        </is>
      </c>
      <c r="H516" s="3" t="inlineStr">
        <is>
          <t>变压器等表面 ≤90℃（25±3℃）</t>
        </is>
      </c>
      <c r="I516" s="3" t="n"/>
      <c r="J516" s="2" t="inlineStr">
        <is>
          <t>通过</t>
        </is>
      </c>
      <c r="K516" s="2" t="n"/>
      <c r="L516" s="2" t="inlineStr">
        <is>
          <t>2026-09-03</t>
        </is>
      </c>
      <c r="M516" s="3" t="n"/>
      <c r="N516" s="2" t="n"/>
    </row>
    <row r="517">
      <c r="A517" s="2" t="n">
        <v>516</v>
      </c>
      <c r="B517" s="2" t="inlineStr">
        <is>
          <t>EX-10.3</t>
        </is>
      </c>
      <c r="C517" s="3" t="inlineStr">
        <is>
          <t>结构与外观</t>
        </is>
      </c>
      <c r="D517" s="3" t="inlineStr">
        <is>
          <t>电池周围</t>
        </is>
      </c>
      <c r="E517" s="2" t="inlineStr">
        <is>
          <t>—</t>
        </is>
      </c>
      <c r="F517" s="3" t="inlineStr">
        <is>
          <t>GB 16806 4.1.3.10</t>
        </is>
      </c>
      <c r="G517" s="3" t="inlineStr">
        <is>
          <t>（见父案步骤）</t>
        </is>
      </c>
      <c r="H517" s="3" t="inlineStr">
        <is>
          <t>电池周围 ≤45℃</t>
        </is>
      </c>
      <c r="I517" s="3" t="n"/>
      <c r="J517" s="2" t="inlineStr">
        <is>
          <t>通过</t>
        </is>
      </c>
      <c r="K517" s="2" t="n"/>
      <c r="L517" s="2" t="inlineStr">
        <is>
          <t>2026-09-03</t>
        </is>
      </c>
      <c r="M517" s="3" t="n"/>
      <c r="N517" s="2" t="n"/>
    </row>
    <row r="518">
      <c r="A518" s="2" t="n">
        <v>517</v>
      </c>
      <c r="B518" s="2" t="inlineStr">
        <is>
          <t>EX-11</t>
        </is>
      </c>
      <c r="C518" s="3" t="inlineStr">
        <is>
          <t>结构与外观</t>
        </is>
      </c>
      <c r="D518" s="3" t="n"/>
      <c r="E518" s="2" t="inlineStr">
        <is>
          <t>—</t>
        </is>
      </c>
      <c r="F518" s="3" t="inlineStr">
        <is>
          <t>GB 4717 5.4.15；GB 16806 4.1.5</t>
        </is>
      </c>
      <c r="G518" s="3" t="inlineStr">
        <is>
          <t>软件资料（总案）</t>
        </is>
      </c>
      <c r="H518" s="3" t="inlineStr">
        <is>
          <t>见子项</t>
        </is>
      </c>
      <c r="I518" s="3" t="n"/>
      <c r="J518" s="2" t="inlineStr">
        <is>
          <t>通过</t>
        </is>
      </c>
      <c r="K518" s="2" t="n"/>
      <c r="L518" s="2" t="inlineStr">
        <is>
          <t>2026-09-03</t>
        </is>
      </c>
      <c r="M518" s="3" t="n"/>
      <c r="N518" s="2" t="n"/>
    </row>
    <row r="519">
      <c r="A519" s="2" t="n">
        <v>518</v>
      </c>
      <c r="B519" s="2" t="inlineStr">
        <is>
          <t>EX-11.1</t>
        </is>
      </c>
      <c r="C519" s="3" t="inlineStr">
        <is>
          <t>结构与外观</t>
        </is>
      </c>
      <c r="D519" s="3" t="inlineStr">
        <is>
          <t>资料齐备</t>
        </is>
      </c>
      <c r="E519" s="2" t="inlineStr">
        <is>
          <t>—</t>
        </is>
      </c>
      <c r="F519" s="3" t="inlineStr">
        <is>
          <t>GB 4717 5.4.15；GB 16806 4.1.5</t>
        </is>
      </c>
      <c r="G519" s="3" t="inlineStr">
        <is>
          <t>（见父案步骤）</t>
        </is>
      </c>
      <c r="H519" s="3" t="inlineStr">
        <is>
          <t>主程序流程/结构图、模块说明、存储器地址分配、软件版本号</t>
        </is>
      </c>
      <c r="I519" s="3" t="n"/>
      <c r="J519" s="2" t="inlineStr">
        <is>
          <t>通过</t>
        </is>
      </c>
      <c r="K519" s="2" t="n"/>
      <c r="L519" s="2" t="inlineStr">
        <is>
          <t>2026-09-03</t>
        </is>
      </c>
      <c r="M519" s="3" t="n"/>
      <c r="N519" s="2" t="n"/>
    </row>
    <row r="520">
      <c r="A520" s="2" t="n">
        <v>519</v>
      </c>
      <c r="B520" s="2" t="inlineStr">
        <is>
          <t>EX-11.2</t>
        </is>
      </c>
      <c r="C520" s="3" t="inlineStr">
        <is>
          <t>结构与外观</t>
        </is>
      </c>
      <c r="D520" s="3" t="inlineStr">
        <is>
          <t>存储介质</t>
        </is>
      </c>
      <c r="E520" s="2" t="inlineStr">
        <is>
          <t>—</t>
        </is>
      </c>
      <c r="F520" s="3" t="inlineStr">
        <is>
          <t>GB 4717 5.4.15；GB 16806 4.1.5</t>
        </is>
      </c>
      <c r="G520" s="3" t="inlineStr">
        <is>
          <t>（见父案步骤）</t>
        </is>
      </c>
      <c r="H520" s="3" t="inlineStr">
        <is>
          <t>程序存于不易丢失存储器</t>
        </is>
      </c>
      <c r="I520" s="3" t="n"/>
      <c r="J520" s="2" t="inlineStr">
        <is>
          <t>通过</t>
        </is>
      </c>
      <c r="K520" s="2" t="n"/>
      <c r="L520" s="2" t="n"/>
      <c r="M520" s="3" t="n"/>
      <c r="N520" s="2" t="n"/>
    </row>
    <row r="521">
      <c r="A521" s="2" t="n">
        <v>520</v>
      </c>
      <c r="B521" s="2" t="inlineStr">
        <is>
          <t>EX-11.3</t>
        </is>
      </c>
      <c r="C521" s="3" t="inlineStr">
        <is>
          <t>结构与外观</t>
        </is>
      </c>
      <c r="D521" s="3" t="inlineStr">
        <is>
          <t>防改动</t>
        </is>
      </c>
      <c r="E521" s="2" t="inlineStr">
        <is>
          <t>—</t>
        </is>
      </c>
      <c r="F521" s="3" t="inlineStr">
        <is>
          <t>GB 4717 5.4.15；GB 16806 4.1.5</t>
        </is>
      </c>
      <c r="G521" s="3" t="inlineStr">
        <is>
          <t>（见父案步骤）</t>
        </is>
      </c>
      <c r="H521" s="3" t="inlineStr">
        <is>
          <t>软件防非专门人员改动</t>
        </is>
      </c>
      <c r="I521" s="3" t="n"/>
      <c r="J521" s="2" t="inlineStr">
        <is>
          <t>通过</t>
        </is>
      </c>
      <c r="K521" s="2" t="n"/>
      <c r="L521" s="2" t="n"/>
      <c r="M521" s="3" t="n"/>
      <c r="N521" s="2" t="n"/>
    </row>
    <row r="522">
      <c r="A522" s="2" t="n">
        <v>521</v>
      </c>
      <c r="B522" s="2" t="inlineStr">
        <is>
          <t>EX-12</t>
        </is>
      </c>
      <c r="C522" s="3" t="inlineStr">
        <is>
          <t>结构与外观</t>
        </is>
      </c>
      <c r="D522" s="3" t="n"/>
      <c r="E522" s="2" t="inlineStr">
        <is>
          <t>—</t>
        </is>
      </c>
      <c r="F522" s="3" t="inlineStr">
        <is>
          <t>GB 4717 8；GB 16806 7</t>
        </is>
      </c>
      <c r="G522" s="3" t="inlineStr">
        <is>
          <t>产品标志</t>
        </is>
      </c>
      <c r="H522" s="3" t="inlineStr">
        <is>
          <t>名称型号、标准编号、生产者、制造日期与编号、供电参数、软件版本号、质检合格标志</t>
        </is>
      </c>
      <c r="I522" s="3" t="n"/>
      <c r="J522" s="2" t="inlineStr">
        <is>
          <t>通过</t>
        </is>
      </c>
      <c r="K522" s="2" t="n"/>
      <c r="L522" s="2" t="inlineStr">
        <is>
          <t>2026-09-03</t>
        </is>
      </c>
      <c r="M522" s="3" t="n"/>
      <c r="N522" s="2" t="n"/>
    </row>
    <row r="523">
      <c r="A523" s="2" t="n">
        <v>522</v>
      </c>
      <c r="B523" s="2" t="inlineStr">
        <is>
          <t>TT-01</t>
        </is>
      </c>
      <c r="C523" s="3" t="inlineStr">
        <is>
          <t>型式试验</t>
        </is>
      </c>
      <c r="D523" s="3" t="n"/>
      <c r="E523" s="2" t="inlineStr">
        <is>
          <t>P2</t>
        </is>
      </c>
      <c r="F523" s="3" t="inlineStr">
        <is>
          <t>GB 4717 5.13；GB 16806 5.5/6.16</t>
        </is>
      </c>
      <c r="G523" s="3" t="inlineStr">
        <is>
          <t>绝缘电阻（总案）——500 V DC、60 s</t>
        </is>
      </c>
      <c r="H523" s="3" t="inlineStr">
        <is>
          <t>见子项</t>
        </is>
      </c>
      <c r="I523" s="4" t="inlineStr">
        <is>
          <t>（未填写原因，需补）</t>
        </is>
      </c>
      <c r="J523" s="6" t="inlineStr">
        <is>
          <t>待测</t>
        </is>
      </c>
      <c r="K523" s="2" t="n"/>
      <c r="L523" s="2" t="inlineStr">
        <is>
          <t>2026-08-18</t>
        </is>
      </c>
      <c r="M523" s="3" t="n"/>
      <c r="N523" s="2" t="n"/>
    </row>
    <row r="524">
      <c r="A524" s="2" t="n">
        <v>523</v>
      </c>
      <c r="B524" s="2" t="inlineStr">
        <is>
          <t>TT-01.1</t>
        </is>
      </c>
      <c r="C524" s="3" t="inlineStr">
        <is>
          <t>型式试验</t>
        </is>
      </c>
      <c r="D524" s="3" t="inlineStr">
        <is>
          <t>报警：端子-机壳</t>
        </is>
      </c>
      <c r="E524" s="2" t="inlineStr">
        <is>
          <t>P2</t>
        </is>
      </c>
      <c r="F524" s="3" t="inlineStr">
        <is>
          <t>GB 4717 5.13</t>
        </is>
      </c>
      <c r="G524" s="3" t="inlineStr">
        <is>
          <t>（见父案步骤）</t>
        </is>
      </c>
      <c r="H524" s="3" t="inlineStr">
        <is>
          <t>端子-机壳 ≥20 MΩ</t>
        </is>
      </c>
      <c r="I524" s="4" t="inlineStr">
        <is>
          <t>（未填写原因，需补）</t>
        </is>
      </c>
      <c r="J524" s="6" t="inlineStr">
        <is>
          <t>待测</t>
        </is>
      </c>
      <c r="K524" s="2" t="n"/>
      <c r="L524" s="2" t="inlineStr">
        <is>
          <t>2026-08-18</t>
        </is>
      </c>
      <c r="M524" s="3" t="n"/>
      <c r="N524" s="2" t="n"/>
    </row>
    <row r="525">
      <c r="A525" s="2" t="n">
        <v>524</v>
      </c>
      <c r="B525" s="2" t="inlineStr">
        <is>
          <t>TT-01.2</t>
        </is>
      </c>
      <c r="C525" s="3" t="inlineStr">
        <is>
          <t>型式试验</t>
        </is>
      </c>
      <c r="D525" s="3" t="inlineStr">
        <is>
          <t>报警：电源-机壳</t>
        </is>
      </c>
      <c r="E525" s="2" t="inlineStr">
        <is>
          <t>P2</t>
        </is>
      </c>
      <c r="F525" s="3" t="inlineStr">
        <is>
          <t>GB 4717 5.13</t>
        </is>
      </c>
      <c r="G525" s="3" t="inlineStr">
        <is>
          <t>（见父案步骤）</t>
        </is>
      </c>
      <c r="H525" s="3" t="inlineStr">
        <is>
          <t>电源-机壳 ≥50 MΩ</t>
        </is>
      </c>
      <c r="I525" s="4" t="inlineStr">
        <is>
          <t>（未填写原因，需补）</t>
        </is>
      </c>
      <c r="J525" s="6" t="inlineStr">
        <is>
          <t>待测</t>
        </is>
      </c>
      <c r="K525" s="2" t="n"/>
      <c r="L525" s="2" t="inlineStr">
        <is>
          <t>2026-08-18</t>
        </is>
      </c>
      <c r="M525" s="3" t="n"/>
      <c r="N525" s="2" t="n"/>
    </row>
    <row r="526">
      <c r="A526" s="2" t="n">
        <v>525</v>
      </c>
      <c r="B526" s="2" t="inlineStr">
        <is>
          <t>TT-01.3</t>
        </is>
      </c>
      <c r="C526" s="3" t="inlineStr">
        <is>
          <t>型式试验</t>
        </is>
      </c>
      <c r="D526" s="3" t="inlineStr">
        <is>
          <t>气灭：绝缘电阻</t>
        </is>
      </c>
      <c r="E526" s="2" t="inlineStr">
        <is>
          <t>P2</t>
        </is>
      </c>
      <c r="F526" s="3" t="inlineStr">
        <is>
          <t>GB 16806 5.5/6.16</t>
        </is>
      </c>
      <c r="G526" s="3" t="inlineStr">
        <is>
          <t>（见父案步骤）</t>
        </is>
      </c>
      <c r="H526" s="3" t="inlineStr">
        <is>
          <t>500 V DC、60 s，≥100 MΩ</t>
        </is>
      </c>
      <c r="I526" s="4" t="inlineStr">
        <is>
          <t>（未填写原因，需补）</t>
        </is>
      </c>
      <c r="J526" s="6" t="inlineStr">
        <is>
          <t>待测</t>
        </is>
      </c>
      <c r="K526" s="2" t="n"/>
      <c r="L526" s="2" t="inlineStr">
        <is>
          <t>2026-08-18</t>
        </is>
      </c>
      <c r="M526" s="3" t="n"/>
      <c r="N526" s="2" t="n"/>
    </row>
    <row r="527">
      <c r="A527" s="2" t="n">
        <v>526</v>
      </c>
      <c r="B527" s="2" t="inlineStr">
        <is>
          <t>TT-02</t>
        </is>
      </c>
      <c r="C527" s="3" t="inlineStr">
        <is>
          <t>型式试验</t>
        </is>
      </c>
      <c r="D527" s="3" t="n"/>
      <c r="E527" s="2" t="inlineStr">
        <is>
          <t>P2</t>
        </is>
      </c>
      <c r="F527" s="3" t="inlineStr">
        <is>
          <t>GB 4717 5.14；GB 16806 5.6/6.17</t>
        </is>
      </c>
      <c r="G527" s="3" t="inlineStr">
        <is>
          <t>泄漏电流（总案）</t>
        </is>
      </c>
      <c r="H527" s="3" t="inlineStr">
        <is>
          <t>见子项</t>
        </is>
      </c>
      <c r="I527" s="4" t="inlineStr">
        <is>
          <t>（未填写原因，需补）</t>
        </is>
      </c>
      <c r="J527" s="6" t="inlineStr">
        <is>
          <t>待测</t>
        </is>
      </c>
      <c r="K527" s="2" t="n"/>
      <c r="L527" s="2" t="inlineStr">
        <is>
          <t>2026-08-18</t>
        </is>
      </c>
      <c r="M527" s="3" t="n"/>
      <c r="N527" s="2" t="n"/>
    </row>
    <row r="528">
      <c r="A528" s="2" t="n">
        <v>527</v>
      </c>
      <c r="B528" s="2" t="inlineStr">
        <is>
          <t>TT-02.1</t>
        </is>
      </c>
      <c r="C528" s="3" t="inlineStr">
        <is>
          <t>型式试验</t>
        </is>
      </c>
      <c r="D528" s="3" t="inlineStr">
        <is>
          <t>报警：泄漏电流</t>
        </is>
      </c>
      <c r="E528" s="2" t="inlineStr">
        <is>
          <t>P2</t>
        </is>
      </c>
      <c r="F528" s="3" t="inlineStr">
        <is>
          <t>GB 4717 5.14</t>
        </is>
      </c>
      <c r="G528" s="3" t="inlineStr">
        <is>
          <t>（见父案步骤）</t>
        </is>
      </c>
      <c r="H528" s="3" t="inlineStr">
        <is>
          <t>同左（5.14，原文如此）</t>
        </is>
      </c>
      <c r="I528" s="4" t="inlineStr">
        <is>
          <t>（未填写原因，需补）</t>
        </is>
      </c>
      <c r="J528" s="6" t="inlineStr">
        <is>
          <t>待测</t>
        </is>
      </c>
      <c r="K528" s="2" t="n"/>
      <c r="L528" s="2" t="inlineStr">
        <is>
          <t>2026-08-18</t>
        </is>
      </c>
      <c r="M528" s="3" t="n"/>
      <c r="N528" s="2" t="n"/>
    </row>
    <row r="529">
      <c r="A529" s="2" t="n">
        <v>528</v>
      </c>
      <c r="B529" s="2" t="inlineStr">
        <is>
          <t>TT-02.2</t>
        </is>
      </c>
      <c r="C529" s="3" t="inlineStr">
        <is>
          <t>型式试验</t>
        </is>
      </c>
      <c r="D529" s="3" t="inlineStr">
        <is>
          <t>气灭：泄漏电流</t>
        </is>
      </c>
      <c r="E529" s="2" t="inlineStr">
        <is>
          <t>P2</t>
        </is>
      </c>
      <c r="F529" s="3" t="inlineStr">
        <is>
          <t>GB 16806 5.6/6.17</t>
        </is>
      </c>
      <c r="G529" s="3" t="inlineStr">
        <is>
          <t>（见父案步骤）</t>
        </is>
      </c>
      <c r="H529" s="3" t="inlineStr">
        <is>
          <t>1.06 倍额定电压，≤0.5 mA</t>
        </is>
      </c>
      <c r="I529" s="4" t="inlineStr">
        <is>
          <t>（未填写原因，需补）</t>
        </is>
      </c>
      <c r="J529" s="6" t="inlineStr">
        <is>
          <t>待测</t>
        </is>
      </c>
      <c r="K529" s="2" t="n"/>
      <c r="L529" s="2" t="inlineStr">
        <is>
          <t>2026-08-18</t>
        </is>
      </c>
      <c r="M529" s="3" t="n"/>
      <c r="N529" s="2" t="n"/>
    </row>
    <row r="530">
      <c r="A530" s="2" t="n">
        <v>529</v>
      </c>
      <c r="B530" s="2" t="inlineStr">
        <is>
          <t>TT-03</t>
        </is>
      </c>
      <c r="C530" s="3" t="inlineStr">
        <is>
          <t>型式试验</t>
        </is>
      </c>
      <c r="D530" s="3" t="inlineStr">
        <is>
          <t>电气强度</t>
        </is>
      </c>
      <c r="E530" s="2" t="inlineStr">
        <is>
          <t>P2</t>
        </is>
      </c>
      <c r="F530" s="3" t="inlineStr">
        <is>
          <t>GB 16806 5.7/6.18</t>
        </is>
      </c>
      <c r="G530" s="3" t="inlineStr">
        <is>
          <t>报警控制器表 4 未列 5.15 不做；气灭控制器做</t>
        </is>
      </c>
      <c r="H530" s="3" t="inlineStr">
        <is>
          <t>1 250 V/50 Hz、60 s、升降压 100～500 V/s、不击穿（≤20 mA）</t>
        </is>
      </c>
      <c r="I530" s="4" t="inlineStr">
        <is>
          <t>（未填写原因，需补）</t>
        </is>
      </c>
      <c r="J530" s="6" t="inlineStr">
        <is>
          <t>待测</t>
        </is>
      </c>
      <c r="K530" s="2" t="n"/>
      <c r="L530" s="2" t="inlineStr">
        <is>
          <t>2026-08-18</t>
        </is>
      </c>
      <c r="M530" s="3" t="n"/>
      <c r="N530" s="2" t="n"/>
    </row>
    <row r="531">
      <c r="A531" s="2" t="n">
        <v>530</v>
      </c>
      <c r="B531" s="2" t="inlineStr">
        <is>
          <t>TT-04</t>
        </is>
      </c>
      <c r="C531" s="3" t="inlineStr">
        <is>
          <t>型式试验</t>
        </is>
      </c>
      <c r="D531" s="3" t="n"/>
      <c r="E531" s="2" t="inlineStr">
        <is>
          <t>P2</t>
        </is>
      </c>
      <c r="F531" s="3" t="inlineStr">
        <is>
          <t>GB 4717 5.16；GB 16806 6.19</t>
        </is>
      </c>
      <c r="G531" s="3" t="inlineStr">
        <is>
          <t>射频电磁场辐射（总案）</t>
        </is>
      </c>
      <c r="H531" s="3" t="inlineStr">
        <is>
          <t>见子项</t>
        </is>
      </c>
      <c r="I531" s="4" t="inlineStr">
        <is>
          <t>（未填写原因，需补）</t>
        </is>
      </c>
      <c r="J531" s="6" t="inlineStr">
        <is>
          <t>待测</t>
        </is>
      </c>
      <c r="K531" s="2" t="n"/>
      <c r="L531" s="2" t="inlineStr">
        <is>
          <t>2026-08-18</t>
        </is>
      </c>
      <c r="M531" s="3" t="n"/>
      <c r="N531" s="2" t="n"/>
    </row>
    <row r="532">
      <c r="A532" s="2" t="n">
        <v>531</v>
      </c>
      <c r="B532" s="2" t="inlineStr">
        <is>
          <t>TT-04.1</t>
        </is>
      </c>
      <c r="C532" s="3" t="inlineStr">
        <is>
          <t>型式试验</t>
        </is>
      </c>
      <c r="D532" s="3" t="inlineStr">
        <is>
          <t>报警</t>
        </is>
      </c>
      <c r="E532" s="2" t="inlineStr">
        <is>
          <t>P2</t>
        </is>
      </c>
      <c r="F532" s="3" t="inlineStr">
        <is>
          <t>GB 4717 5.16</t>
        </is>
      </c>
      <c r="G532" s="3" t="inlineStr">
        <is>
          <t>（见父案步骤）</t>
        </is>
      </c>
      <c r="H532" s="3" t="inlineStr">
        <is>
          <t>同参数（5.16）</t>
        </is>
      </c>
      <c r="I532" s="4" t="inlineStr">
        <is>
          <t>（未填写原因，需补）</t>
        </is>
      </c>
      <c r="J532" s="6" t="inlineStr">
        <is>
          <t>待测</t>
        </is>
      </c>
      <c r="K532" s="2" t="n"/>
      <c r="L532" s="2" t="inlineStr">
        <is>
          <t>2026-08-18</t>
        </is>
      </c>
      <c r="M532" s="3" t="n"/>
      <c r="N532" s="2" t="n"/>
    </row>
    <row r="533">
      <c r="A533" s="2" t="n">
        <v>532</v>
      </c>
      <c r="B533" s="2" t="inlineStr">
        <is>
          <t>TT-04.2</t>
        </is>
      </c>
      <c r="C533" s="3" t="inlineStr">
        <is>
          <t>型式试验</t>
        </is>
      </c>
      <c r="D533" s="3" t="inlineStr">
        <is>
          <t>气灭</t>
        </is>
      </c>
      <c r="E533" s="2" t="inlineStr">
        <is>
          <t>P2</t>
        </is>
      </c>
      <c r="F533" s="3" t="inlineStr">
        <is>
          <t>GB 16806 6.19</t>
        </is>
      </c>
      <c r="G533" s="3" t="inlineStr">
        <is>
          <t>（见父案步骤）</t>
        </is>
      </c>
      <c r="H533" s="3" t="inlineStr">
        <is>
          <t>10 V/m、80～1 000 MHz、80%AM(1 kHz)</t>
        </is>
      </c>
      <c r="I533" s="4" t="inlineStr">
        <is>
          <t>（未填写原因，需补）</t>
        </is>
      </c>
      <c r="J533" s="6" t="inlineStr">
        <is>
          <t>待测</t>
        </is>
      </c>
      <c r="K533" s="2" t="n"/>
      <c r="L533" s="2" t="inlineStr">
        <is>
          <t>2026-08-18</t>
        </is>
      </c>
      <c r="M533" s="3" t="n"/>
      <c r="N533" s="2" t="n"/>
    </row>
    <row r="534">
      <c r="A534" s="2" t="n">
        <v>533</v>
      </c>
      <c r="B534" s="2" t="inlineStr">
        <is>
          <t>TT-05</t>
        </is>
      </c>
      <c r="C534" s="3" t="inlineStr">
        <is>
          <t>型式试验</t>
        </is>
      </c>
      <c r="D534" s="3" t="n"/>
      <c r="E534" s="2" t="inlineStr">
        <is>
          <t>P2</t>
        </is>
      </c>
      <c r="F534" s="3" t="inlineStr">
        <is>
          <t>GB 4717 5.17；GB 16806 6.20</t>
        </is>
      </c>
      <c r="G534" s="3" t="inlineStr">
        <is>
          <t>射频传导骚扰（总案）</t>
        </is>
      </c>
      <c r="H534" s="3" t="inlineStr">
        <is>
          <t>见子项</t>
        </is>
      </c>
      <c r="I534" s="4" t="inlineStr">
        <is>
          <t>（未填写原因，需补）</t>
        </is>
      </c>
      <c r="J534" s="6" t="inlineStr">
        <is>
          <t>待测</t>
        </is>
      </c>
      <c r="K534" s="2" t="n"/>
      <c r="L534" s="2" t="inlineStr">
        <is>
          <t>2026-08-18</t>
        </is>
      </c>
      <c r="M534" s="3" t="n"/>
      <c r="N534" s="2" t="n"/>
    </row>
    <row r="535">
      <c r="A535" s="2" t="n">
        <v>534</v>
      </c>
      <c r="B535" s="2" t="inlineStr">
        <is>
          <t>TT-05.1</t>
        </is>
      </c>
      <c r="C535" s="3" t="inlineStr">
        <is>
          <t>型式试验</t>
        </is>
      </c>
      <c r="D535" s="3" t="inlineStr">
        <is>
          <t>报警</t>
        </is>
      </c>
      <c r="E535" s="2" t="inlineStr">
        <is>
          <t>P2</t>
        </is>
      </c>
      <c r="F535" s="3" t="inlineStr">
        <is>
          <t>GB 4717 5.17</t>
        </is>
      </c>
      <c r="G535" s="3" t="inlineStr">
        <is>
          <t>（见父案步骤）</t>
        </is>
      </c>
      <c r="H535" s="3" t="inlineStr">
        <is>
          <t>140 dBμV、0.15～100 MHz</t>
        </is>
      </c>
      <c r="I535" s="4" t="inlineStr">
        <is>
          <t>（未填写原因，需补）</t>
        </is>
      </c>
      <c r="J535" s="6" t="inlineStr">
        <is>
          <t>待测</t>
        </is>
      </c>
      <c r="K535" s="2" t="n"/>
      <c r="L535" s="2" t="inlineStr">
        <is>
          <t>2026-08-18</t>
        </is>
      </c>
      <c r="M535" s="3" t="n"/>
      <c r="N535" s="2" t="n"/>
    </row>
    <row r="536">
      <c r="A536" s="2" t="n">
        <v>535</v>
      </c>
      <c r="B536" s="2" t="inlineStr">
        <is>
          <t>TT-05.2</t>
        </is>
      </c>
      <c r="C536" s="3" t="inlineStr">
        <is>
          <t>型式试验</t>
        </is>
      </c>
      <c r="D536" s="3" t="inlineStr">
        <is>
          <t>气灭</t>
        </is>
      </c>
      <c r="E536" s="2" t="inlineStr">
        <is>
          <t>P2</t>
        </is>
      </c>
      <c r="F536" s="3" t="inlineStr">
        <is>
          <t>GB 16806 6.20</t>
        </is>
      </c>
      <c r="G536" s="3" t="inlineStr">
        <is>
          <t>（见父案步骤）</t>
        </is>
      </c>
      <c r="H536" s="3" t="inlineStr">
        <is>
          <t>140 dBμV、0.15～80 MHz</t>
        </is>
      </c>
      <c r="I536" s="4" t="inlineStr">
        <is>
          <t>（未填写原因，需补）</t>
        </is>
      </c>
      <c r="J536" s="6" t="inlineStr">
        <is>
          <t>待测</t>
        </is>
      </c>
      <c r="K536" s="2" t="n"/>
      <c r="L536" s="2" t="inlineStr">
        <is>
          <t>2026-08-18</t>
        </is>
      </c>
      <c r="M536" s="3" t="n"/>
      <c r="N536" s="2" t="n"/>
    </row>
    <row r="537">
      <c r="A537" s="2" t="n">
        <v>536</v>
      </c>
      <c r="B537" s="2" t="inlineStr">
        <is>
          <t>TT-06</t>
        </is>
      </c>
      <c r="C537" s="3" t="inlineStr">
        <is>
          <t>型式试验</t>
        </is>
      </c>
      <c r="D537" s="3" t="n"/>
      <c r="E537" s="2" t="inlineStr">
        <is>
          <t>P2</t>
        </is>
      </c>
      <c r="F537" s="3" t="inlineStr">
        <is>
          <t>GB 4717 5.18；GB 16806 6.21</t>
        </is>
      </c>
      <c r="G537" s="3" t="inlineStr">
        <is>
          <t>静电放电（总案）</t>
        </is>
      </c>
      <c r="H537" s="3" t="inlineStr">
        <is>
          <t>见子项</t>
        </is>
      </c>
      <c r="I537" s="4" t="inlineStr">
        <is>
          <t>（未填写原因，需补）</t>
        </is>
      </c>
      <c r="J537" s="6" t="inlineStr">
        <is>
          <t>待测</t>
        </is>
      </c>
      <c r="K537" s="2" t="n"/>
      <c r="L537" s="2" t="inlineStr">
        <is>
          <t>2026-08-18</t>
        </is>
      </c>
      <c r="M537" s="3" t="n"/>
      <c r="N537" s="2" t="n"/>
    </row>
    <row r="538">
      <c r="A538" s="2" t="n">
        <v>537</v>
      </c>
      <c r="B538" s="2" t="inlineStr">
        <is>
          <t>TT-06.1</t>
        </is>
      </c>
      <c r="C538" s="3" t="inlineStr">
        <is>
          <t>型式试验</t>
        </is>
      </c>
      <c r="D538" s="3" t="inlineStr">
        <is>
          <t>报警</t>
        </is>
      </c>
      <c r="E538" s="2" t="inlineStr">
        <is>
          <t>P2</t>
        </is>
      </c>
      <c r="F538" s="3" t="inlineStr">
        <is>
          <t>GB 4717 5.18</t>
        </is>
      </c>
      <c r="G538" s="3" t="inlineStr">
        <is>
          <t>（见父案步骤）</t>
        </is>
      </c>
      <c r="H538" s="3" t="inlineStr">
        <is>
          <t>同参数（5.18）</t>
        </is>
      </c>
      <c r="I538" s="4" t="inlineStr">
        <is>
          <t>（未填写原因，需补）</t>
        </is>
      </c>
      <c r="J538" s="6" t="inlineStr">
        <is>
          <t>待测</t>
        </is>
      </c>
      <c r="K538" s="2" t="n"/>
      <c r="L538" s="2" t="inlineStr">
        <is>
          <t>2026-08-18</t>
        </is>
      </c>
      <c r="M538" s="3" t="n"/>
      <c r="N538" s="2" t="n"/>
    </row>
    <row r="539">
      <c r="A539" s="2" t="n">
        <v>538</v>
      </c>
      <c r="B539" s="2" t="inlineStr">
        <is>
          <t>TT-06.2</t>
        </is>
      </c>
      <c r="C539" s="3" t="inlineStr">
        <is>
          <t>型式试验</t>
        </is>
      </c>
      <c r="D539" s="3" t="inlineStr">
        <is>
          <t>气灭</t>
        </is>
      </c>
      <c r="E539" s="2" t="inlineStr">
        <is>
          <t>P2</t>
        </is>
      </c>
      <c r="F539" s="3" t="inlineStr">
        <is>
          <t>GB 16806 6.21</t>
        </is>
      </c>
      <c r="G539" s="3" t="inlineStr">
        <is>
          <t>（见父案步骤）</t>
        </is>
      </c>
      <c r="H539" s="3" t="inlineStr">
        <is>
          <t>空气 8 kV / 接触 6 kV、每点 10 次、间隔 ≥1 s</t>
        </is>
      </c>
      <c r="I539" s="4" t="inlineStr">
        <is>
          <t>（未填写原因，需补）</t>
        </is>
      </c>
      <c r="J539" s="6" t="inlineStr">
        <is>
          <t>待测</t>
        </is>
      </c>
      <c r="K539" s="2" t="n"/>
      <c r="L539" s="2" t="inlineStr">
        <is>
          <t>2026-08-18</t>
        </is>
      </c>
      <c r="M539" s="3" t="n"/>
      <c r="N539" s="2" t="n"/>
    </row>
    <row r="540">
      <c r="A540" s="2" t="n">
        <v>539</v>
      </c>
      <c r="B540" s="2" t="inlineStr">
        <is>
          <t>TT-07</t>
        </is>
      </c>
      <c r="C540" s="3" t="inlineStr">
        <is>
          <t>型式试验</t>
        </is>
      </c>
      <c r="D540" s="3" t="n"/>
      <c r="E540" s="2" t="inlineStr">
        <is>
          <t>P2</t>
        </is>
      </c>
      <c r="F540" s="3" t="inlineStr">
        <is>
          <t>GB 4717 5.19；GB 16806 6.22</t>
        </is>
      </c>
      <c r="G540" s="3" t="inlineStr">
        <is>
          <t>电快速瞬变（总案）</t>
        </is>
      </c>
      <c r="H540" s="3" t="inlineStr">
        <is>
          <t>见子项</t>
        </is>
      </c>
      <c r="I540" s="4" t="inlineStr">
        <is>
          <t>（未填写原因，需补）</t>
        </is>
      </c>
      <c r="J540" s="6" t="inlineStr">
        <is>
          <t>待测</t>
        </is>
      </c>
      <c r="K540" s="2" t="n"/>
      <c r="L540" s="2" t="inlineStr">
        <is>
          <t>2026-08-18</t>
        </is>
      </c>
      <c r="M540" s="3" t="n"/>
      <c r="N540" s="2" t="n"/>
    </row>
    <row r="541">
      <c r="A541" s="2" t="n">
        <v>540</v>
      </c>
      <c r="B541" s="2" t="inlineStr">
        <is>
          <t>TT-07.1</t>
        </is>
      </c>
      <c r="C541" s="3" t="inlineStr">
        <is>
          <t>型式试验</t>
        </is>
      </c>
      <c r="D541" s="3" t="inlineStr">
        <is>
          <t>报警</t>
        </is>
      </c>
      <c r="E541" s="2" t="inlineStr">
        <is>
          <t>P2</t>
        </is>
      </c>
      <c r="F541" s="3" t="inlineStr">
        <is>
          <t>GB 4717 5.19</t>
        </is>
      </c>
      <c r="G541" s="3" t="inlineStr">
        <is>
          <t>（见父案步骤）</t>
        </is>
      </c>
      <c r="H541" s="3" t="inlineStr">
        <is>
          <t>AC 线 2 kV/2.5 kHz、其他线 1 kV/5 kHz</t>
        </is>
      </c>
      <c r="I541" s="4" t="inlineStr">
        <is>
          <t>（未填写原因，需补）</t>
        </is>
      </c>
      <c r="J541" s="6" t="inlineStr">
        <is>
          <t>待测</t>
        </is>
      </c>
      <c r="K541" s="2" t="n"/>
      <c r="L541" s="2" t="inlineStr">
        <is>
          <t>2026-08-18</t>
        </is>
      </c>
      <c r="M541" s="3" t="n"/>
      <c r="N541" s="2" t="n"/>
    </row>
    <row r="542">
      <c r="A542" s="2" t="n">
        <v>541</v>
      </c>
      <c r="B542" s="2" t="inlineStr">
        <is>
          <t>TT-07.2</t>
        </is>
      </c>
      <c r="C542" s="3" t="inlineStr">
        <is>
          <t>型式试验</t>
        </is>
      </c>
      <c r="D542" s="3" t="inlineStr">
        <is>
          <t>气灭</t>
        </is>
      </c>
      <c r="E542" s="2" t="inlineStr">
        <is>
          <t>P2</t>
        </is>
      </c>
      <c r="F542" s="3" t="inlineStr">
        <is>
          <t>GB 16806 6.22</t>
        </is>
      </c>
      <c r="G542" s="3" t="inlineStr">
        <is>
          <t>（见父案步骤）</t>
        </is>
      </c>
      <c r="H542" s="3" t="inlineStr">
        <is>
          <t>AC 线 2 kV/5 kHz、其他线 1 kV/5 kHz、每次 1 min×3</t>
        </is>
      </c>
      <c r="I542" s="4" t="inlineStr">
        <is>
          <t>（未填写原因，需补）</t>
        </is>
      </c>
      <c r="J542" s="6" t="inlineStr">
        <is>
          <t>待测</t>
        </is>
      </c>
      <c r="K542" s="2" t="n"/>
      <c r="L542" s="2" t="inlineStr">
        <is>
          <t>2026-08-18</t>
        </is>
      </c>
      <c r="M542" s="3" t="n"/>
      <c r="N542" s="2" t="n"/>
    </row>
    <row r="543">
      <c r="A543" s="2" t="n">
        <v>542</v>
      </c>
      <c r="B543" s="2" t="inlineStr">
        <is>
          <t>TT-08</t>
        </is>
      </c>
      <c r="C543" s="3" t="inlineStr">
        <is>
          <t>型式试验</t>
        </is>
      </c>
      <c r="D543" s="3" t="n"/>
      <c r="E543" s="2" t="inlineStr">
        <is>
          <t>P2</t>
        </is>
      </c>
      <c r="F543" s="3" t="inlineStr">
        <is>
          <t>GB 4717 5.20；GB 16806 6.23</t>
        </is>
      </c>
      <c r="G543" s="3" t="inlineStr">
        <is>
          <t>浪涌（总案）</t>
        </is>
      </c>
      <c r="H543" s="3" t="inlineStr">
        <is>
          <t>见子项</t>
        </is>
      </c>
      <c r="I543" s="4" t="inlineStr">
        <is>
          <t>（未填写原因，需补）</t>
        </is>
      </c>
      <c r="J543" s="6" t="inlineStr">
        <is>
          <t>待测</t>
        </is>
      </c>
      <c r="K543" s="2" t="n"/>
      <c r="L543" s="2" t="inlineStr">
        <is>
          <t>2026-08-18</t>
        </is>
      </c>
      <c r="M543" s="3" t="n"/>
      <c r="N543" s="2" t="n"/>
    </row>
    <row r="544">
      <c r="A544" s="2" t="n">
        <v>543</v>
      </c>
      <c r="B544" s="2" t="inlineStr">
        <is>
          <t>TT-08.1</t>
        </is>
      </c>
      <c r="C544" s="3" t="inlineStr">
        <is>
          <t>型式试验</t>
        </is>
      </c>
      <c r="D544" s="3" t="inlineStr">
        <is>
          <t>报警</t>
        </is>
      </c>
      <c r="E544" s="2" t="inlineStr">
        <is>
          <t>P2</t>
        </is>
      </c>
      <c r="F544" s="3" t="inlineStr">
        <is>
          <t>GB 4717 5.20</t>
        </is>
      </c>
      <c r="G544" s="3" t="inlineStr">
        <is>
          <t>（见父案步骤）</t>
        </is>
      </c>
      <c r="H544" s="3" t="inlineStr">
        <is>
          <t>AC 线-线 1 kV、线-地 2 kV；其他线-地 1 kV；5 次</t>
        </is>
      </c>
      <c r="I544" s="4" t="inlineStr">
        <is>
          <t>（未填写原因，需补）</t>
        </is>
      </c>
      <c r="J544" s="6" t="inlineStr">
        <is>
          <t>待测</t>
        </is>
      </c>
      <c r="K544" s="2" t="n"/>
      <c r="L544" s="2" t="inlineStr">
        <is>
          <t>2026-08-18</t>
        </is>
      </c>
      <c r="M544" s="3" t="n"/>
      <c r="N544" s="2" t="n"/>
    </row>
    <row r="545">
      <c r="A545" s="2" t="n">
        <v>544</v>
      </c>
      <c r="B545" s="2" t="inlineStr">
        <is>
          <t>TT-08.2</t>
        </is>
      </c>
      <c r="C545" s="3" t="inlineStr">
        <is>
          <t>型式试验</t>
        </is>
      </c>
      <c r="D545" s="3" t="inlineStr">
        <is>
          <t>气灭</t>
        </is>
      </c>
      <c r="E545" s="2" t="inlineStr">
        <is>
          <t>P2</t>
        </is>
      </c>
      <c r="F545" s="3" t="inlineStr">
        <is>
          <t>GB 16806 6.23</t>
        </is>
      </c>
      <c r="G545" s="3" t="inlineStr">
        <is>
          <t>（见父案步骤）</t>
        </is>
      </c>
      <c r="H545" s="3" t="inlineStr">
        <is>
          <t>AC 线-线 1 kV、线-地 2 kV；其他线-地 1 kV、线-线 0.5 kV；5 次</t>
        </is>
      </c>
      <c r="I545" s="4" t="inlineStr">
        <is>
          <t>（未填写原因，需补）</t>
        </is>
      </c>
      <c r="J545" s="6" t="inlineStr">
        <is>
          <t>待测</t>
        </is>
      </c>
      <c r="K545" s="2" t="n"/>
      <c r="L545" s="2" t="inlineStr">
        <is>
          <t>2026-08-18</t>
        </is>
      </c>
      <c r="M545" s="3" t="n"/>
      <c r="N545" s="2" t="n"/>
    </row>
    <row r="546">
      <c r="A546" s="2" t="n">
        <v>545</v>
      </c>
      <c r="B546" s="2" t="inlineStr">
        <is>
          <t>TT-09</t>
        </is>
      </c>
      <c r="C546" s="3" t="inlineStr">
        <is>
          <t>型式试验</t>
        </is>
      </c>
      <c r="D546" s="3" t="n"/>
      <c r="E546" s="2" t="inlineStr">
        <is>
          <t>P2</t>
        </is>
      </c>
      <c r="F546" s="3" t="inlineStr">
        <is>
          <t>GB 4717 5.21；GB 16806 6.24</t>
        </is>
      </c>
      <c r="G546" s="3" t="inlineStr">
        <is>
          <t>电源瞬变（总案）</t>
        </is>
      </c>
      <c r="H546" s="3" t="inlineStr">
        <is>
          <t>见子项</t>
        </is>
      </c>
      <c r="I546" s="4" t="inlineStr">
        <is>
          <t>（未填写原因，需补）</t>
        </is>
      </c>
      <c r="J546" s="6" t="inlineStr">
        <is>
          <t>待测</t>
        </is>
      </c>
      <c r="K546" s="2" t="n"/>
      <c r="L546" s="2" t="inlineStr">
        <is>
          <t>2026-08-18</t>
        </is>
      </c>
      <c r="M546" s="3" t="n"/>
      <c r="N546" s="2" t="n"/>
    </row>
    <row r="547">
      <c r="A547" s="2" t="n">
        <v>546</v>
      </c>
      <c r="B547" s="2" t="inlineStr">
        <is>
          <t>TT-09.1</t>
        </is>
      </c>
      <c r="C547" s="3" t="inlineStr">
        <is>
          <t>型式试验</t>
        </is>
      </c>
      <c r="D547" s="3" t="inlineStr">
        <is>
          <t>报警</t>
        </is>
      </c>
      <c r="E547" s="2" t="inlineStr">
        <is>
          <t>P2</t>
        </is>
      </c>
      <c r="F547" s="3" t="inlineStr">
        <is>
          <t>GB 4717 5.21</t>
        </is>
      </c>
      <c r="G547" s="3" t="inlineStr">
        <is>
          <t>（见父案步骤）</t>
        </is>
      </c>
      <c r="H547" s="3" t="inlineStr">
        <is>
          <t>通 9 s/断 1 s×500 次</t>
        </is>
      </c>
      <c r="I547" s="4" t="inlineStr">
        <is>
          <t>（未填写原因，需补）</t>
        </is>
      </c>
      <c r="J547" s="6" t="inlineStr">
        <is>
          <t>待测</t>
        </is>
      </c>
      <c r="K547" s="2" t="n"/>
      <c r="L547" s="2" t="inlineStr">
        <is>
          <t>2026-08-18</t>
        </is>
      </c>
      <c r="M547" s="3" t="n"/>
      <c r="N547" s="2" t="n"/>
    </row>
    <row r="548">
      <c r="A548" s="2" t="n">
        <v>547</v>
      </c>
      <c r="B548" s="2" t="inlineStr">
        <is>
          <t>TT-09.2</t>
        </is>
      </c>
      <c r="C548" s="3" t="inlineStr">
        <is>
          <t>型式试验</t>
        </is>
      </c>
      <c r="D548" s="3" t="inlineStr">
        <is>
          <t>气灭</t>
        </is>
      </c>
      <c r="E548" s="2" t="inlineStr">
        <is>
          <t>P2</t>
        </is>
      </c>
      <c r="F548" s="3" t="inlineStr">
        <is>
          <t>GB 16806 6.24</t>
        </is>
      </c>
      <c r="G548" s="3" t="inlineStr">
        <is>
          <t>（见父案步骤）</t>
        </is>
      </c>
      <c r="H548" s="3" t="inlineStr">
        <is>
          <t>通 9 s/断 1 s×500 次、6 次/min</t>
        </is>
      </c>
      <c r="I548" s="4" t="inlineStr">
        <is>
          <t>（未填写原因，需补）</t>
        </is>
      </c>
      <c r="J548" s="6" t="inlineStr">
        <is>
          <t>待测</t>
        </is>
      </c>
      <c r="K548" s="2" t="n"/>
      <c r="L548" s="2" t="inlineStr">
        <is>
          <t>2026-08-18</t>
        </is>
      </c>
      <c r="M548" s="3" t="n"/>
      <c r="N548" s="2" t="n"/>
    </row>
    <row r="549">
      <c r="A549" s="2" t="n">
        <v>548</v>
      </c>
      <c r="B549" s="2" t="inlineStr">
        <is>
          <t>TT-10</t>
        </is>
      </c>
      <c r="C549" s="3" t="inlineStr">
        <is>
          <t>型式试验</t>
        </is>
      </c>
      <c r="D549" s="3" t="n"/>
      <c r="E549" s="2" t="inlineStr">
        <is>
          <t>P2</t>
        </is>
      </c>
      <c r="F549" s="3" t="inlineStr">
        <is>
          <t>GB 4717 5.22；GB 16806 6.25</t>
        </is>
      </c>
      <c r="G549" s="3" t="inlineStr">
        <is>
          <t>电压暂降（总案）</t>
        </is>
      </c>
      <c r="H549" s="3" t="inlineStr">
        <is>
          <t>见子项</t>
        </is>
      </c>
      <c r="I549" s="4" t="inlineStr">
        <is>
          <t>（未填写原因，需补）</t>
        </is>
      </c>
      <c r="J549" s="6" t="inlineStr">
        <is>
          <t>待测</t>
        </is>
      </c>
      <c r="K549" s="2" t="n"/>
      <c r="L549" s="2" t="inlineStr">
        <is>
          <t>2026-08-18</t>
        </is>
      </c>
      <c r="M549" s="3" t="n"/>
      <c r="N549" s="2" t="n"/>
    </row>
    <row r="550">
      <c r="A550" s="2" t="n">
        <v>549</v>
      </c>
      <c r="B550" s="2" t="inlineStr">
        <is>
          <t>TT-10.1</t>
        </is>
      </c>
      <c r="C550" s="3" t="inlineStr">
        <is>
          <t>型式试验</t>
        </is>
      </c>
      <c r="D550" s="3" t="inlineStr">
        <is>
          <t>报警</t>
        </is>
      </c>
      <c r="E550" s="2" t="inlineStr">
        <is>
          <t>P2</t>
        </is>
      </c>
      <c r="F550" s="3" t="inlineStr">
        <is>
          <t>GB 4717 5.22</t>
        </is>
      </c>
      <c r="G550" s="3" t="inlineStr">
        <is>
          <t>（见父案步骤）</t>
        </is>
      </c>
      <c r="H550" s="3" t="inlineStr">
        <is>
          <t>40%/20 ms×10；0 V/10 ms×10</t>
        </is>
      </c>
      <c r="I550" s="4" t="inlineStr">
        <is>
          <t>（未填写原因，需补）</t>
        </is>
      </c>
      <c r="J550" s="6" t="inlineStr">
        <is>
          <t>待测</t>
        </is>
      </c>
      <c r="K550" s="2" t="n"/>
      <c r="L550" s="2" t="inlineStr">
        <is>
          <t>2026-08-18</t>
        </is>
      </c>
      <c r="M550" s="3" t="n"/>
      <c r="N550" s="2" t="n"/>
    </row>
    <row r="551">
      <c r="A551" s="2" t="n">
        <v>550</v>
      </c>
      <c r="B551" s="2" t="inlineStr">
        <is>
          <t>TT-10.2</t>
        </is>
      </c>
      <c r="C551" s="3" t="inlineStr">
        <is>
          <t>型式试验</t>
        </is>
      </c>
      <c r="D551" s="3" t="inlineStr">
        <is>
          <t>气灭</t>
        </is>
      </c>
      <c r="E551" s="2" t="inlineStr">
        <is>
          <t>P2</t>
        </is>
      </c>
      <c r="F551" s="3" t="inlineStr">
        <is>
          <t>GB 16806 6.25</t>
        </is>
      </c>
      <c r="G551" s="3" t="inlineStr">
        <is>
          <t>（见父案步骤）</t>
        </is>
      </c>
      <c r="H551" s="3" t="inlineStr">
        <is>
          <t>40%/200 ms×10；0 V/20 ms×10</t>
        </is>
      </c>
      <c r="I551" s="4" t="inlineStr">
        <is>
          <t>（未填写原因，需补）</t>
        </is>
      </c>
      <c r="J551" s="6" t="inlineStr">
        <is>
          <t>待测</t>
        </is>
      </c>
      <c r="K551" s="2" t="n"/>
      <c r="L551" s="2" t="inlineStr">
        <is>
          <t>2026-08-18</t>
        </is>
      </c>
      <c r="M551" s="3" t="n"/>
      <c r="N551" s="2" t="n"/>
    </row>
    <row r="552">
      <c r="A552" s="2" t="n">
        <v>551</v>
      </c>
      <c r="B552" s="2" t="inlineStr">
        <is>
          <t>TT-11</t>
        </is>
      </c>
      <c r="C552" s="3" t="inlineStr">
        <is>
          <t>型式试验</t>
        </is>
      </c>
      <c r="D552" s="3" t="n"/>
      <c r="E552" s="2" t="inlineStr">
        <is>
          <t>P2</t>
        </is>
      </c>
      <c r="F552" s="3" t="inlineStr">
        <is>
          <t>GB 4717 5.23；GB 16806 6.26</t>
        </is>
      </c>
      <c r="G552" s="3" t="inlineStr">
        <is>
          <t>低温（运行）（总案）</t>
        </is>
      </c>
      <c r="H552" s="3" t="inlineStr">
        <is>
          <t>见子项</t>
        </is>
      </c>
      <c r="I552" s="4" t="inlineStr">
        <is>
          <t>（未填写原因，需补）</t>
        </is>
      </c>
      <c r="J552" s="6" t="inlineStr">
        <is>
          <t>待测</t>
        </is>
      </c>
      <c r="K552" s="2" t="n"/>
      <c r="L552" s="2" t="inlineStr">
        <is>
          <t>2026-08-18</t>
        </is>
      </c>
      <c r="M552" s="3" t="n"/>
      <c r="N552" s="2" t="n"/>
    </row>
    <row r="553">
      <c r="A553" s="2" t="n">
        <v>552</v>
      </c>
      <c r="B553" s="2" t="inlineStr">
        <is>
          <t>TT-11.1</t>
        </is>
      </c>
      <c r="C553" s="3" t="inlineStr">
        <is>
          <t>型式试验</t>
        </is>
      </c>
      <c r="D553" s="3" t="inlineStr">
        <is>
          <t>报警</t>
        </is>
      </c>
      <c r="E553" s="2" t="inlineStr">
        <is>
          <t>P2</t>
        </is>
      </c>
      <c r="F553" s="3" t="inlineStr">
        <is>
          <t>GB 4717 5.23</t>
        </is>
      </c>
      <c r="G553" s="3" t="inlineStr">
        <is>
          <t>（见父案步骤）</t>
        </is>
      </c>
      <c r="H553" s="3" t="inlineStr">
        <is>
          <t>0℃±3℃、16 h</t>
        </is>
      </c>
      <c r="I553" s="4" t="inlineStr">
        <is>
          <t>（未填写原因，需补）</t>
        </is>
      </c>
      <c r="J553" s="6" t="inlineStr">
        <is>
          <t>待测</t>
        </is>
      </c>
      <c r="K553" s="2" t="n"/>
      <c r="L553" s="2" t="inlineStr">
        <is>
          <t>2026-08-18</t>
        </is>
      </c>
      <c r="M553" s="3" t="n"/>
      <c r="N553" s="2" t="n"/>
    </row>
    <row r="554">
      <c r="A554" s="2" t="n">
        <v>553</v>
      </c>
      <c r="B554" s="2" t="inlineStr">
        <is>
          <t>TT-11.2</t>
        </is>
      </c>
      <c r="C554" s="3" t="inlineStr">
        <is>
          <t>型式试验</t>
        </is>
      </c>
      <c r="D554" s="3" t="inlineStr">
        <is>
          <t>气灭</t>
        </is>
      </c>
      <c r="E554" s="2" t="inlineStr">
        <is>
          <t>P2</t>
        </is>
      </c>
      <c r="F554" s="3" t="inlineStr">
        <is>
          <t>GB 16806 6.26</t>
        </is>
      </c>
      <c r="G554" s="3" t="inlineStr">
        <is>
          <t>（见父案步骤）</t>
        </is>
      </c>
      <c r="H554" s="3" t="inlineStr">
        <is>
          <t>-10℃±2℃、16 h、变温 ≤1℃/min</t>
        </is>
      </c>
      <c r="I554" s="4" t="inlineStr">
        <is>
          <t>（未填写原因，需补）</t>
        </is>
      </c>
      <c r="J554" s="6" t="inlineStr">
        <is>
          <t>待测</t>
        </is>
      </c>
      <c r="K554" s="2" t="n"/>
      <c r="L554" s="2" t="inlineStr">
        <is>
          <t>2026-08-18</t>
        </is>
      </c>
      <c r="M554" s="3" t="n"/>
      <c r="N554" s="2" t="n"/>
    </row>
    <row r="555">
      <c r="A555" s="2" t="n">
        <v>554</v>
      </c>
      <c r="B555" s="2" t="inlineStr">
        <is>
          <t>TT-12</t>
        </is>
      </c>
      <c r="C555" s="3" t="inlineStr">
        <is>
          <t>型式试验</t>
        </is>
      </c>
      <c r="D555" s="3" t="n"/>
      <c r="E555" s="2" t="inlineStr">
        <is>
          <t>P2</t>
        </is>
      </c>
      <c r="F555" s="3" t="inlineStr">
        <is>
          <t>GB 4717 5.24；GB 16806 6.27</t>
        </is>
      </c>
      <c r="G555" s="3" t="inlineStr">
        <is>
          <t>恒定湿热（运行）（总案）</t>
        </is>
      </c>
      <c r="H555" s="3" t="inlineStr">
        <is>
          <t>见子项</t>
        </is>
      </c>
      <c r="I555" s="4" t="inlineStr">
        <is>
          <t>（未填写原因，需补）</t>
        </is>
      </c>
      <c r="J555" s="6" t="inlineStr">
        <is>
          <t>待测</t>
        </is>
      </c>
      <c r="K555" s="2" t="n"/>
      <c r="L555" s="2" t="inlineStr">
        <is>
          <t>2026-08-18</t>
        </is>
      </c>
      <c r="M555" s="3" t="n"/>
      <c r="N555" s="2" t="n"/>
    </row>
    <row r="556">
      <c r="A556" s="2" t="n">
        <v>555</v>
      </c>
      <c r="B556" s="2" t="inlineStr">
        <is>
          <t>TT-12.1</t>
        </is>
      </c>
      <c r="C556" s="3" t="inlineStr">
        <is>
          <t>型式试验</t>
        </is>
      </c>
      <c r="D556" s="3" t="inlineStr">
        <is>
          <t>报警</t>
        </is>
      </c>
      <c r="E556" s="2" t="inlineStr">
        <is>
          <t>P2</t>
        </is>
      </c>
      <c r="F556" s="3" t="inlineStr">
        <is>
          <t>GB 4717 5.24</t>
        </is>
      </c>
      <c r="G556" s="3" t="inlineStr">
        <is>
          <t>（见父案步骤）</t>
        </is>
      </c>
      <c r="H556" s="3" t="inlineStr">
        <is>
          <t>40℃±2℃、90%～95%RH、4 d</t>
        </is>
      </c>
      <c r="I556" s="4" t="inlineStr">
        <is>
          <t>（未填写原因，需补）</t>
        </is>
      </c>
      <c r="J556" s="6" t="inlineStr">
        <is>
          <t>待测</t>
        </is>
      </c>
      <c r="K556" s="2" t="n"/>
      <c r="L556" s="2" t="inlineStr">
        <is>
          <t>2026-08-18</t>
        </is>
      </c>
      <c r="M556" s="3" t="n"/>
      <c r="N556" s="2" t="n"/>
    </row>
    <row r="557">
      <c r="A557" s="2" t="n">
        <v>556</v>
      </c>
      <c r="B557" s="2" t="inlineStr">
        <is>
          <t>TT-12.2</t>
        </is>
      </c>
      <c r="C557" s="3" t="inlineStr">
        <is>
          <t>型式试验</t>
        </is>
      </c>
      <c r="D557" s="3" t="inlineStr">
        <is>
          <t>气灭</t>
        </is>
      </c>
      <c r="E557" s="2" t="inlineStr">
        <is>
          <t>P2</t>
        </is>
      </c>
      <c r="F557" s="3" t="inlineStr">
        <is>
          <t>GB 16806 6.27</t>
        </is>
      </c>
      <c r="G557" s="3" t="inlineStr">
        <is>
          <t>（见父案步骤）</t>
        </is>
      </c>
      <c r="H557" s="3" t="inlineStr">
        <is>
          <t>40℃±2℃、93%±3%RH、4 d</t>
        </is>
      </c>
      <c r="I557" s="4" t="inlineStr">
        <is>
          <t>（未填写原因，需补）</t>
        </is>
      </c>
      <c r="J557" s="6" t="inlineStr">
        <is>
          <t>待测</t>
        </is>
      </c>
      <c r="K557" s="2" t="n"/>
      <c r="L557" s="2" t="inlineStr">
        <is>
          <t>2026-08-18</t>
        </is>
      </c>
      <c r="M557" s="3" t="n"/>
      <c r="N557" s="2" t="n"/>
    </row>
    <row r="558">
      <c r="A558" s="2" t="n">
        <v>557</v>
      </c>
      <c r="B558" s="2" t="inlineStr">
        <is>
          <t>TT-13</t>
        </is>
      </c>
      <c r="C558" s="3" t="inlineStr">
        <is>
          <t>型式试验</t>
        </is>
      </c>
      <c r="D558" s="3" t="inlineStr">
        <is>
          <t>恒定湿热（耐久）</t>
        </is>
      </c>
      <c r="E558" s="2" t="inlineStr">
        <is>
          <t>P2</t>
        </is>
      </c>
      <c r="F558" s="3" t="inlineStr">
        <is>
          <t>GB 16806 6.28</t>
        </is>
      </c>
      <c r="G558" s="3" t="inlineStr">
        <is>
          <t>报警控制器表 4 未列 5.25 不做；气灭控制器做</t>
        </is>
      </c>
      <c r="H558" s="3" t="inlineStr">
        <is>
          <t>40℃±2℃、93%±3%RH、21 d 不通电、恢复 12 h</t>
        </is>
      </c>
      <c r="I558" s="4" t="inlineStr">
        <is>
          <t>（未填写原因，需补）</t>
        </is>
      </c>
      <c r="J558" s="6" t="inlineStr">
        <is>
          <t>待测</t>
        </is>
      </c>
      <c r="K558" s="2" t="n"/>
      <c r="L558" s="2" t="inlineStr">
        <is>
          <t>2026-08-18</t>
        </is>
      </c>
      <c r="M558" s="3" t="n"/>
      <c r="N558" s="2" t="n"/>
    </row>
    <row r="559">
      <c r="A559" s="2" t="n">
        <v>558</v>
      </c>
      <c r="B559" s="2" t="inlineStr">
        <is>
          <t>TT-14</t>
        </is>
      </c>
      <c r="C559" s="3" t="inlineStr">
        <is>
          <t>型式试验</t>
        </is>
      </c>
      <c r="D559" s="3" t="n"/>
      <c r="E559" s="2" t="inlineStr">
        <is>
          <t>P2</t>
        </is>
      </c>
      <c r="F559" s="3" t="inlineStr">
        <is>
          <t>GB 4717 5.26；GB 16806 6.29</t>
        </is>
      </c>
      <c r="G559" s="3" t="inlineStr">
        <is>
          <t>振动（运行）（总案）</t>
        </is>
      </c>
      <c r="H559" s="3" t="inlineStr">
        <is>
          <t>见子项</t>
        </is>
      </c>
      <c r="I559" s="4" t="inlineStr">
        <is>
          <t>（未填写原因，需补）</t>
        </is>
      </c>
      <c r="J559" s="6" t="inlineStr">
        <is>
          <t>待测</t>
        </is>
      </c>
      <c r="K559" s="2" t="n"/>
      <c r="L559" s="2" t="inlineStr">
        <is>
          <t>2026-08-18</t>
        </is>
      </c>
      <c r="M559" s="3" t="n"/>
      <c r="N559" s="2" t="n"/>
    </row>
    <row r="560">
      <c r="A560" s="2" t="n">
        <v>559</v>
      </c>
      <c r="B560" s="2" t="inlineStr">
        <is>
          <t>TT-14.1</t>
        </is>
      </c>
      <c r="C560" s="3" t="inlineStr">
        <is>
          <t>型式试验</t>
        </is>
      </c>
      <c r="D560" s="3" t="inlineStr">
        <is>
          <t>报警</t>
        </is>
      </c>
      <c r="E560" s="2" t="inlineStr">
        <is>
          <t>P2</t>
        </is>
      </c>
      <c r="F560" s="3" t="inlineStr">
        <is>
          <t>GB 4717 5.26</t>
        </is>
      </c>
      <c r="G560" s="3" t="inlineStr">
        <is>
          <t>（见父案步骤）</t>
        </is>
      </c>
      <c r="H560" s="3" t="inlineStr">
        <is>
          <t>10～150 Hz、0.981 m/s²、3 轴各 1 循环</t>
        </is>
      </c>
      <c r="I560" s="4" t="inlineStr">
        <is>
          <t>（未填写原因，需补）</t>
        </is>
      </c>
      <c r="J560" s="6" t="inlineStr">
        <is>
          <t>待测</t>
        </is>
      </c>
      <c r="K560" s="2" t="n"/>
      <c r="L560" s="2" t="inlineStr">
        <is>
          <t>2026-08-18</t>
        </is>
      </c>
      <c r="M560" s="3" t="n"/>
      <c r="N560" s="2" t="n"/>
    </row>
    <row r="561">
      <c r="A561" s="2" t="n">
        <v>560</v>
      </c>
      <c r="B561" s="2" t="inlineStr">
        <is>
          <t>TT-14.2</t>
        </is>
      </c>
      <c r="C561" s="3" t="inlineStr">
        <is>
          <t>型式试验</t>
        </is>
      </c>
      <c r="D561" s="3" t="inlineStr">
        <is>
          <t>气灭</t>
        </is>
      </c>
      <c r="E561" s="2" t="inlineStr">
        <is>
          <t>P2</t>
        </is>
      </c>
      <c r="F561" s="3" t="inlineStr">
        <is>
          <t>GB 16806 6.29</t>
        </is>
      </c>
      <c r="G561" s="3" t="inlineStr">
        <is>
          <t>（见父案步骤）</t>
        </is>
      </c>
      <c r="H561" s="3" t="inlineStr">
        <is>
          <t>10～150 Hz、5 m/s²、1 oct/min、3 轴各 1 循环</t>
        </is>
      </c>
      <c r="I561" s="4" t="inlineStr">
        <is>
          <t>（未填写原因，需补）</t>
        </is>
      </c>
      <c r="J561" s="6" t="inlineStr">
        <is>
          <t>待测</t>
        </is>
      </c>
      <c r="K561" s="2" t="n"/>
      <c r="L561" s="2" t="inlineStr">
        <is>
          <t>2026-08-18</t>
        </is>
      </c>
      <c r="M561" s="3" t="n"/>
      <c r="N561" s="2" t="n"/>
    </row>
    <row r="562">
      <c r="A562" s="2" t="n">
        <v>561</v>
      </c>
      <c r="B562" s="2" t="inlineStr">
        <is>
          <t>TT-15</t>
        </is>
      </c>
      <c r="C562" s="3" t="inlineStr">
        <is>
          <t>型式试验</t>
        </is>
      </c>
      <c r="D562" s="3" t="n"/>
      <c r="E562" s="2" t="inlineStr">
        <is>
          <t>P2</t>
        </is>
      </c>
      <c r="F562" s="3" t="inlineStr">
        <is>
          <t>GB 4717 5.28；GB 16806 6.30</t>
        </is>
      </c>
      <c r="G562" s="3" t="inlineStr">
        <is>
          <t>碰撞（总案）</t>
        </is>
      </c>
      <c r="H562" s="3" t="inlineStr">
        <is>
          <t>见子项</t>
        </is>
      </c>
      <c r="I562" s="4" t="inlineStr">
        <is>
          <t>（未填写原因，需补）</t>
        </is>
      </c>
      <c r="J562" s="6" t="inlineStr">
        <is>
          <t>待测</t>
        </is>
      </c>
      <c r="K562" s="2" t="n"/>
      <c r="L562" s="2" t="inlineStr">
        <is>
          <t>2026-08-18</t>
        </is>
      </c>
      <c r="M562" s="3" t="n"/>
      <c r="N562" s="2" t="n"/>
    </row>
    <row r="563">
      <c r="A563" s="2" t="n">
        <v>562</v>
      </c>
      <c r="B563" s="2" t="inlineStr">
        <is>
          <t>TT-15.1</t>
        </is>
      </c>
      <c r="C563" s="3" t="inlineStr">
        <is>
          <t>型式试验</t>
        </is>
      </c>
      <c r="D563" s="3" t="inlineStr">
        <is>
          <t>报警</t>
        </is>
      </c>
      <c r="E563" s="2" t="inlineStr">
        <is>
          <t>P2</t>
        </is>
      </c>
      <c r="F563" s="3" t="inlineStr">
        <is>
          <t>GB 4717 5.28</t>
        </is>
      </c>
      <c r="G563" s="3" t="inlineStr">
        <is>
          <t>（见父案步骤）</t>
        </is>
      </c>
      <c r="H563" s="3" t="inlineStr">
        <is>
          <t>同参数（5.28）</t>
        </is>
      </c>
      <c r="I563" s="4" t="inlineStr">
        <is>
          <t>（未填写原因，需补）</t>
        </is>
      </c>
      <c r="J563" s="6" t="inlineStr">
        <is>
          <t>待测</t>
        </is>
      </c>
      <c r="K563" s="2" t="n"/>
      <c r="L563" s="2" t="inlineStr">
        <is>
          <t>2026-08-18</t>
        </is>
      </c>
      <c r="M563" s="3" t="n"/>
      <c r="N563" s="2" t="n"/>
    </row>
    <row r="564">
      <c r="A564" s="2" t="n">
        <v>563</v>
      </c>
      <c r="B564" s="2" t="inlineStr">
        <is>
          <t>TT-15.2</t>
        </is>
      </c>
      <c r="C564" s="3" t="inlineStr">
        <is>
          <t>型式试验</t>
        </is>
      </c>
      <c r="D564" s="3" t="inlineStr">
        <is>
          <t>气灭</t>
        </is>
      </c>
      <c r="E564" s="2" t="inlineStr">
        <is>
          <t>P2</t>
        </is>
      </c>
      <c r="F564" s="3" t="inlineStr">
        <is>
          <t>GB 16806 6.30</t>
        </is>
      </c>
      <c r="G564" s="3" t="inlineStr">
        <is>
          <t>（见父案步骤）</t>
        </is>
      </c>
      <c r="H564" s="3" t="inlineStr">
        <is>
          <t>0.5 J±0.04 J×3 次/易损部件</t>
        </is>
      </c>
      <c r="I564" s="4" t="inlineStr">
        <is>
          <t>（未填写原因，需补）</t>
        </is>
      </c>
      <c r="J564" s="6" t="inlineStr">
        <is>
          <t>待测</t>
        </is>
      </c>
      <c r="K564" s="2" t="n"/>
      <c r="L564" s="2" t="inlineStr">
        <is>
          <t>2026-08-18</t>
        </is>
      </c>
      <c r="M564" s="3" t="n"/>
      <c r="N564" s="2" t="n"/>
    </row>
    <row r="565">
      <c r="A565" s="2" t="n">
        <v>564</v>
      </c>
      <c r="B565" s="2" t="inlineStr">
        <is>
          <t>TT-16</t>
        </is>
      </c>
      <c r="C565" s="3" t="inlineStr">
        <is>
          <t>型式试验</t>
        </is>
      </c>
      <c r="D565" s="3" t="n"/>
      <c r="E565" s="2" t="inlineStr">
        <is>
          <t>P2</t>
        </is>
      </c>
      <c r="F565" s="3" t="inlineStr">
        <is>
          <t>附录 A</t>
        </is>
      </c>
      <c r="G565" s="3" t="inlineStr">
        <is>
          <t>外壳燃烧（非金属外壳）</t>
        </is>
      </c>
      <c r="H565" s="3" t="inlineStr">
        <is>
          <t>附录 A：样块 80×10 mm、氧含量 28%、气流 40 mm/s、施焰 30 s；燃烧长度 ≤50 mm</t>
        </is>
      </c>
      <c r="I565" s="4" t="inlineStr">
        <is>
          <t>（未填写原因，需补）</t>
        </is>
      </c>
      <c r="J565" s="6" t="inlineStr">
        <is>
          <t>待测</t>
        </is>
      </c>
      <c r="K565" s="2" t="n"/>
      <c r="L565" s="2" t="inlineStr">
        <is>
          <t>2026-08-18</t>
        </is>
      </c>
      <c r="M565" s="3" t="n"/>
      <c r="N565" s="2" t="n"/>
    </row>
    <row r="566">
      <c r="A566" s="2" t="n">
        <v>565</v>
      </c>
      <c r="B566" s="2" t="inlineStr">
        <is>
          <t>UI-29</t>
        </is>
      </c>
      <c r="C566" s="3" t="inlineStr">
        <is>
          <t>人机菜单(产品级)</t>
        </is>
      </c>
      <c r="D566" s="3" t="n"/>
      <c r="E566" s="2" t="inlineStr">
        <is>
          <t>建议</t>
        </is>
      </c>
      <c r="F566" s="3" t="inlineStr">
        <is>
          <t>表1 高级向下兼容</t>
        </is>
      </c>
      <c r="G566" s="3" t="inlineStr">
        <is>
          <t>【建议项·未实现】四级重置二/三级密码（总案）——场景：二/三级操作员忘记密码/人员离职/交接失败，无法登录导致现场消音、复位、手动启停全部不可操作。建议流程：四级（算法密码）登录 → 密码管理 → 选择重置二级或三级 → 二次确认 → 屏显一次性临时密码（随机 6 位，24 h 或一次有效）→ 该级下次登录后强制设置新密码</t>
        </is>
      </c>
      <c r="H566" s="3" t="inlineStr">
        <is>
          <t>见子项</t>
        </is>
      </c>
      <c r="I566" s="4" t="inlineStr">
        <is>
          <t>（未填写原因，需补）</t>
        </is>
      </c>
      <c r="J566" s="6" t="inlineStr">
        <is>
          <t>待测</t>
        </is>
      </c>
      <c r="K566" s="2" t="n"/>
      <c r="L566" s="2" t="inlineStr">
        <is>
          <t>2026-08-18</t>
        </is>
      </c>
      <c r="M566" s="3" t="n"/>
      <c r="N566" s="2" t="n"/>
    </row>
    <row r="567">
      <c r="A567" s="2" t="n">
        <v>566</v>
      </c>
      <c r="B567" s="2" t="inlineStr">
        <is>
          <t>UI-01.4</t>
        </is>
      </c>
      <c r="C567" s="3" t="inlineStr">
        <is>
          <t>人机菜单(产品级)</t>
        </is>
      </c>
      <c r="D567" s="3" t="inlineStr">
        <is>
          <t>菜单页·详情返回</t>
        </is>
      </c>
      <c r="E567" s="2" t="inlineStr">
        <is>
          <t>P1</t>
        </is>
      </c>
      <c r="F567" s="3" t="inlineStr">
        <is>
          <t>现场补充</t>
        </is>
      </c>
      <c r="G567" s="3" t="inlineStr">
        <is>
          <t>挂帐列表点击详情</t>
        </is>
      </c>
      <c r="H567" s="3" t="inlineStr">
        <is>
          <t>右上角返回按钮应该能返回到菜单页</t>
        </is>
      </c>
      <c r="I567" s="3" t="inlineStr">
        <is>
          <t>无法返回到菜单页</t>
        </is>
      </c>
      <c r="J567" s="7" t="inlineStr">
        <is>
          <t>不通过</t>
        </is>
      </c>
      <c r="K567" s="2" t="n"/>
      <c r="L567" s="2" t="inlineStr">
        <is>
          <t>2026-08-18</t>
        </is>
      </c>
      <c r="M567" s="3" t="inlineStr">
        <is>
          <t>现场实测补充用例</t>
        </is>
      </c>
      <c r="N567" s="2" t="inlineStr">
        <is>
          <t>查询 / 历史记录</t>
        </is>
      </c>
    </row>
    <row r="568">
      <c r="A568" s="2" t="n">
        <v>567</v>
      </c>
      <c r="B568" s="2" t="inlineStr">
        <is>
          <t>DP-06</t>
        </is>
      </c>
      <c r="C568" s="3" t="inlineStr">
        <is>
          <t>显示与查询</t>
        </is>
      </c>
      <c r="D568" s="3" t="inlineStr">
        <is>
          <t>历史记录·无数据时列表</t>
        </is>
      </c>
      <c r="E568" s="2" t="inlineStr">
        <is>
          <t>P1</t>
        </is>
      </c>
      <c r="F568" s="3" t="inlineStr">
        <is>
          <t>现场补充</t>
        </is>
      </c>
      <c r="G568" s="3" t="inlineStr">
        <is>
          <t>查询本机历史记录</t>
        </is>
      </c>
      <c r="H568" s="3" t="inlineStr">
        <is>
          <t>查询本机火警/监管/启动/反馈/屏蔽/其他历史记录</t>
        </is>
      </c>
      <c r="I568" s="3" t="inlineStr">
        <is>
          <t>无数据时列表里 0 条数据</t>
        </is>
      </c>
      <c r="J568" s="5" t="inlineStr">
        <is>
          <t>通过</t>
        </is>
      </c>
      <c r="K568" s="2" t="n"/>
      <c r="L568" s="2" t="inlineStr">
        <is>
          <t>2026-08-18</t>
        </is>
      </c>
      <c r="M568" s="3" t="inlineStr">
        <is>
          <t>现场实测补充用例</t>
        </is>
      </c>
      <c r="N568" s="2" t="inlineStr">
        <is>
          <t>查询 / 历史记录</t>
        </is>
      </c>
    </row>
    <row r="569">
      <c r="A569" s="2" t="n">
        <v>568</v>
      </c>
      <c r="B569" s="2" t="inlineStr">
        <is>
          <t>DP-07</t>
        </is>
      </c>
      <c r="C569" s="3" t="inlineStr">
        <is>
          <t>显示与查询</t>
        </is>
      </c>
      <c r="D569" s="3" t="inlineStr">
        <is>
          <t>历史记录·有数据时列表</t>
        </is>
      </c>
      <c r="E569" s="2" t="inlineStr">
        <is>
          <t>P1</t>
        </is>
      </c>
      <c r="F569" s="3" t="inlineStr">
        <is>
          <t>现场补充</t>
        </is>
      </c>
      <c r="G569" s="3" t="inlineStr">
        <is>
          <t>查询本机历史记录</t>
        </is>
      </c>
      <c r="H569" s="3" t="inlineStr">
        <is>
          <t>查询本机火警/监管/启动/反馈/屏蔽/其他历史记录</t>
        </is>
      </c>
      <c r="I569" s="3" t="inlineStr">
        <is>
          <t>有数据时列表里对应数据</t>
        </is>
      </c>
      <c r="J569" s="8" t="inlineStr">
        <is>
          <t>通过</t>
        </is>
      </c>
      <c r="K569" s="2" t="n"/>
      <c r="L569" s="2" t="inlineStr">
        <is>
          <t>2026-08-18</t>
        </is>
      </c>
      <c r="M569" s="3" t="inlineStr">
        <is>
          <t>现场实测补充用例</t>
        </is>
      </c>
      <c r="N569" s="2" t="inlineStr">
        <is>
          <t>查询 / 历史记录</t>
        </is>
      </c>
    </row>
    <row r="570">
      <c r="A570" s="2" t="n">
        <v>569</v>
      </c>
      <c r="B570" s="2" t="inlineStr">
        <is>
          <t>DP-08</t>
        </is>
      </c>
      <c r="C570" s="3" t="inlineStr">
        <is>
          <t>显示与查询</t>
        </is>
      </c>
      <c r="D570" s="3" t="inlineStr">
        <is>
          <t>历史记录·列表返回</t>
        </is>
      </c>
      <c r="E570" s="2" t="inlineStr">
        <is>
          <t>P1</t>
        </is>
      </c>
      <c r="F570" s="3" t="inlineStr">
        <is>
          <t>现场补充</t>
        </is>
      </c>
      <c r="G570" s="3" t="inlineStr">
        <is>
          <t>查询本机历史记录列表</t>
        </is>
      </c>
      <c r="H570" s="3" t="inlineStr">
        <is>
          <t>点击返回按钮可以返回</t>
        </is>
      </c>
      <c r="I570" s="3" t="inlineStr">
        <is>
          <t>可以返回</t>
        </is>
      </c>
      <c r="J570" s="5" t="inlineStr">
        <is>
          <t>通过</t>
        </is>
      </c>
      <c r="K570" s="2" t="n"/>
      <c r="L570" s="2" t="inlineStr">
        <is>
          <t>2026-08-18</t>
        </is>
      </c>
      <c r="M570" s="3" t="inlineStr">
        <is>
          <t>现场实测补充用例</t>
        </is>
      </c>
      <c r="N570" s="2" t="inlineStr">
        <is>
          <t>查询 / 历史记录</t>
        </is>
      </c>
    </row>
    <row r="571">
      <c r="A571" s="2" t="n">
        <v>570</v>
      </c>
      <c r="B571" s="2" t="inlineStr">
        <is>
          <t>DP-09</t>
        </is>
      </c>
      <c r="C571" s="3" t="inlineStr">
        <is>
          <t>显示与查询</t>
        </is>
      </c>
      <c r="D571" s="3" t="inlineStr">
        <is>
          <t>历史记录·故障记录分页</t>
        </is>
      </c>
      <c r="E571" s="2" t="inlineStr">
        <is>
          <t>P1</t>
        </is>
      </c>
      <c r="F571" s="3" t="inlineStr">
        <is>
          <t>现场补充</t>
        </is>
      </c>
      <c r="G571" s="3" t="inlineStr">
        <is>
          <t>查询本机历史记录列表</t>
        </is>
      </c>
      <c r="H571" s="3" t="inlineStr">
        <is>
          <t>查询本机故障历史记录</t>
        </is>
      </c>
      <c r="I571" s="3" t="inlineStr">
        <is>
          <t>能查到列表，也能切换页面查看更多数据</t>
        </is>
      </c>
      <c r="J571" s="5" t="inlineStr">
        <is>
          <t>通过</t>
        </is>
      </c>
      <c r="K571" s="2" t="n"/>
      <c r="L571" s="2" t="inlineStr">
        <is>
          <t>2026-08-18</t>
        </is>
      </c>
      <c r="M571" s="3" t="inlineStr">
        <is>
          <t>现场实测补充用例</t>
        </is>
      </c>
      <c r="N571" s="2" t="inlineStr">
        <is>
          <t>查询 / 历史记录</t>
        </is>
      </c>
    </row>
    <row r="572">
      <c r="A572" s="2" t="n">
        <v>571</v>
      </c>
      <c r="B572" s="2" t="inlineStr">
        <is>
          <t>DP-10</t>
        </is>
      </c>
      <c r="C572" s="3" t="inlineStr">
        <is>
          <t>显示与查询</t>
        </is>
      </c>
      <c r="D572" s="3" t="inlineStr">
        <is>
          <t>历史记录·单条详情</t>
        </is>
      </c>
      <c r="E572" s="2" t="inlineStr">
        <is>
          <t>P1</t>
        </is>
      </c>
      <c r="F572" s="3" t="inlineStr">
        <is>
          <t>现场补充</t>
        </is>
      </c>
      <c r="G572" s="3" t="inlineStr">
        <is>
          <t>查询本机历史记录列表</t>
        </is>
      </c>
      <c r="H572" s="3" t="inlineStr">
        <is>
          <t>查询本机故障历史记录，点详情，查看更多信息</t>
        </is>
      </c>
      <c r="I572" s="3" t="inlineStr">
        <is>
          <t>能看到单条记录更详细的信息</t>
        </is>
      </c>
      <c r="J572" s="5" t="inlineStr">
        <is>
          <t>通过</t>
        </is>
      </c>
      <c r="K572" s="2" t="n"/>
      <c r="L572" s="2" t="inlineStr">
        <is>
          <t>2026-08-18</t>
        </is>
      </c>
      <c r="M572" s="3" t="inlineStr">
        <is>
          <t>现场实测补充用例</t>
        </is>
      </c>
      <c r="N572" s="2" t="inlineStr">
        <is>
          <t>查询 / 历史记录</t>
        </is>
      </c>
    </row>
    <row r="573">
      <c r="A573" s="2" t="n">
        <v>572</v>
      </c>
      <c r="B573" s="2" t="inlineStr">
        <is>
          <t>DP-11</t>
        </is>
      </c>
      <c r="C573" s="3" t="inlineStr">
        <is>
          <t>显示与查询</t>
        </is>
      </c>
      <c r="D573" s="3" t="inlineStr">
        <is>
          <t>历史记录·详情返回按钮</t>
        </is>
      </c>
      <c r="E573" s="2" t="inlineStr">
        <is>
          <t>P1</t>
        </is>
      </c>
      <c r="F573" s="3" t="inlineStr">
        <is>
          <t>现场补充</t>
        </is>
      </c>
      <c r="G573" s="3" t="inlineStr">
        <is>
          <t>查询本机历史记录列表</t>
        </is>
      </c>
      <c r="H573" s="3" t="inlineStr">
        <is>
          <t>查询本机故障历史记录返回按钮</t>
        </is>
      </c>
      <c r="I573" s="3" t="inlineStr">
        <is>
          <t>应该显示返回按钮，显示了菜单按钮。点击按钮无响应</t>
        </is>
      </c>
      <c r="J573" s="7" t="inlineStr">
        <is>
          <t>不通过</t>
        </is>
      </c>
      <c r="K573" s="2" t="n"/>
      <c r="L573" s="2" t="inlineStr">
        <is>
          <t>2026-08-18</t>
        </is>
      </c>
      <c r="M573" s="3" t="inlineStr">
        <is>
          <t>现场实测补充用例</t>
        </is>
      </c>
      <c r="N573" s="2" t="inlineStr">
        <is>
          <t>查询 / 历史记录</t>
        </is>
      </c>
    </row>
    <row r="574">
      <c r="A574" s="2" t="n">
        <v>573</v>
      </c>
      <c r="B574" s="2" t="inlineStr">
        <is>
          <t>DP-12</t>
        </is>
      </c>
      <c r="C574" s="3" t="inlineStr">
        <is>
          <t>显示与查询</t>
        </is>
      </c>
      <c r="D574" s="3" t="inlineStr">
        <is>
          <t>历史记录·按设备查询</t>
        </is>
      </c>
      <c r="E574" s="2" t="inlineStr">
        <is>
          <t>P1</t>
        </is>
      </c>
      <c r="F574" s="3" t="inlineStr">
        <is>
          <t>现场补充</t>
        </is>
      </c>
      <c r="G574" s="3" t="inlineStr">
        <is>
          <t>查询本机历史记录列表</t>
        </is>
      </c>
      <c r="H574" s="3" t="inlineStr">
        <is>
          <t>按设备查询</t>
        </is>
      </c>
      <c r="I574" s="3" t="inlineStr">
        <is>
          <t>对应设备类型的记录正确显示</t>
        </is>
      </c>
      <c r="J574" s="5" t="inlineStr">
        <is>
          <t>通过</t>
        </is>
      </c>
      <c r="K574" s="2" t="n"/>
      <c r="L574" s="2" t="inlineStr">
        <is>
          <t>2026-08-18</t>
        </is>
      </c>
      <c r="M574" s="3" t="inlineStr">
        <is>
          <t>现场实测补充用例</t>
        </is>
      </c>
      <c r="N574" s="2" t="inlineStr">
        <is>
          <t>查询 / 历史记录</t>
        </is>
      </c>
    </row>
    <row r="575">
      <c r="A575" s="2" t="n">
        <v>574</v>
      </c>
      <c r="B575" s="2" t="inlineStr">
        <is>
          <t>DP-14</t>
        </is>
      </c>
      <c r="C575" s="3" t="inlineStr">
        <is>
          <t>显示与查询</t>
        </is>
      </c>
      <c r="D575" s="3" t="inlineStr">
        <is>
          <t>历史记录·按时间查询</t>
        </is>
      </c>
      <c r="E575" s="2" t="inlineStr">
        <is>
          <t>P1</t>
        </is>
      </c>
      <c r="F575" s="3" t="inlineStr">
        <is>
          <t>现场补充</t>
        </is>
      </c>
      <c r="G575" s="3" t="inlineStr">
        <is>
          <t>查询本机历史记录列表</t>
        </is>
      </c>
      <c r="H575" s="3" t="inlineStr">
        <is>
          <t>按时间查询</t>
        </is>
      </c>
      <c r="I575" s="3" t="inlineStr">
        <is>
          <t>有结果</t>
        </is>
      </c>
      <c r="J575" s="5" t="inlineStr">
        <is>
          <t>通过</t>
        </is>
      </c>
      <c r="K575" s="2" t="n"/>
      <c r="L575" s="2" t="inlineStr">
        <is>
          <t>2026-08-18</t>
        </is>
      </c>
      <c r="M575" s="3" t="inlineStr">
        <is>
          <t>现场实测补充用例</t>
        </is>
      </c>
      <c r="N575" s="2" t="inlineStr">
        <is>
          <t>查询 / 历史记录</t>
        </is>
      </c>
    </row>
    <row r="576">
      <c r="A576" s="2" t="n">
        <v>575</v>
      </c>
      <c r="B576" s="2" t="inlineStr">
        <is>
          <t>UI-18.4</t>
        </is>
      </c>
      <c r="C576" s="3" t="inlineStr">
        <is>
          <t>人机菜单(产品级)</t>
        </is>
      </c>
      <c r="D576" s="3" t="inlineStr">
        <is>
          <t>设备注册·可注册</t>
        </is>
      </c>
      <c r="E576" s="2" t="inlineStr">
        <is>
          <t>P1</t>
        </is>
      </c>
      <c r="F576" s="3" t="inlineStr">
        <is>
          <t>现场补充</t>
        </is>
      </c>
      <c r="G576" s="3" t="inlineStr">
        <is>
          <t>设置注册</t>
        </is>
      </c>
      <c r="H576" s="3" t="inlineStr">
        <is>
          <t>设备注册</t>
        </is>
      </c>
      <c r="I576" s="3" t="inlineStr">
        <is>
          <t>可以注册设备</t>
        </is>
      </c>
      <c r="J576" s="5" t="inlineStr">
        <is>
          <t>通过</t>
        </is>
      </c>
      <c r="K576" s="2" t="n"/>
      <c r="L576" s="2" t="inlineStr">
        <is>
          <t>2026-08-18</t>
        </is>
      </c>
      <c r="M576" s="3" t="inlineStr">
        <is>
          <t>现场实测补充用例</t>
        </is>
      </c>
      <c r="N576" s="2" t="inlineStr">
        <is>
          <t>调试 / 点位注册</t>
        </is>
      </c>
    </row>
    <row r="577">
      <c r="A577" s="2" t="n">
        <v>576</v>
      </c>
      <c r="B577" s="2" t="inlineStr">
        <is>
          <t>UI-18.5</t>
        </is>
      </c>
      <c r="C577" s="3" t="inlineStr">
        <is>
          <t>人机菜单(产品级)</t>
        </is>
      </c>
      <c r="D577" s="3" t="inlineStr">
        <is>
          <t>点位注册·右上角返回按钮</t>
        </is>
      </c>
      <c r="E577" s="2" t="inlineStr">
        <is>
          <t>P1</t>
        </is>
      </c>
      <c r="F577" s="3" t="inlineStr">
        <is>
          <t>现场补充</t>
        </is>
      </c>
      <c r="G577" s="3" t="inlineStr">
        <is>
          <t>在点位注册页点击右上角按钮</t>
        </is>
      </c>
      <c r="H577" s="3" t="inlineStr">
        <is>
          <t>右上角应为返回按钮，点击返回上一页</t>
        </is>
      </c>
      <c r="I577" s="3" t="inlineStr">
        <is>
          <t>❌ 显示的是菜单按钮，点击跳到菜单列表页（全局导航缺陷·亚型A：显示错）。注：本页左上角返回按钮另有"点击无响应"问题(UI-18.3，亚型B)，两个按钮各自有问题</t>
        </is>
      </c>
      <c r="J577" s="7" t="inlineStr">
        <is>
          <t>不通过</t>
        </is>
      </c>
      <c r="K577" s="2" t="n"/>
      <c r="L577" s="2" t="inlineStr">
        <is>
          <t>2026-08-18</t>
        </is>
      </c>
      <c r="M577" s="3" t="inlineStr">
        <is>
          <t>全局导航缺陷·亚型A</t>
        </is>
      </c>
      <c r="N577" s="2" t="inlineStr">
        <is>
          <t>调试 / 点位注册</t>
        </is>
      </c>
    </row>
    <row r="578">
      <c r="A578" s="2" t="n">
        <v>577</v>
      </c>
      <c r="B578" s="2" t="inlineStr">
        <is>
          <t>UI-03.4</t>
        </is>
      </c>
      <c r="C578" s="3" t="inlineStr">
        <is>
          <t>人机菜单(产品级)</t>
        </is>
      </c>
      <c r="D578" s="3" t="inlineStr">
        <is>
          <t>设备总览·列表返回按钮</t>
        </is>
      </c>
      <c r="E578" s="2" t="inlineStr">
        <is>
          <t>P1</t>
        </is>
      </c>
      <c r="F578" s="3" t="inlineStr">
        <is>
          <t>现场补充</t>
        </is>
      </c>
      <c r="G578" s="3" t="inlineStr">
        <is>
          <t>设备总览</t>
        </is>
      </c>
      <c r="H578" s="3" t="inlineStr">
        <is>
          <t>点击列表右上角返回按钮，正常应该能返回到上一页</t>
        </is>
      </c>
      <c r="I578" s="3" t="inlineStr">
        <is>
          <t>点击无响应</t>
        </is>
      </c>
      <c r="J578" s="7" t="inlineStr">
        <is>
          <t>不通过</t>
        </is>
      </c>
      <c r="K578" s="2" t="n"/>
      <c r="L578" s="2" t="inlineStr">
        <is>
          <t>2026-08-18</t>
        </is>
      </c>
      <c r="M578" s="3" t="inlineStr">
        <is>
          <t>现场实测补充用例</t>
        </is>
      </c>
      <c r="N578" s="2" t="inlineStr">
        <is>
          <t>查询 / 设备总览</t>
        </is>
      </c>
    </row>
    <row r="579">
      <c r="A579" s="2" t="n">
        <v>578</v>
      </c>
      <c r="B579" s="2" t="inlineStr">
        <is>
          <t>UI-03.5</t>
        </is>
      </c>
      <c r="C579" s="3" t="inlineStr">
        <is>
          <t>人机菜单(产品级)</t>
        </is>
      </c>
      <c r="D579" s="3" t="inlineStr">
        <is>
          <t>设备总览·可看设备详情</t>
        </is>
      </c>
      <c r="E579" s="2" t="inlineStr">
        <is>
          <t>P1</t>
        </is>
      </c>
      <c r="F579" s="3" t="inlineStr">
        <is>
          <t>现场补充</t>
        </is>
      </c>
      <c r="G579" s="3" t="inlineStr">
        <is>
          <t>设备总览</t>
        </is>
      </c>
      <c r="H579" s="3" t="inlineStr">
        <is>
          <t>在列表也查看设备详情，能看到设备详情页面</t>
        </is>
      </c>
      <c r="I579" s="4" t="inlineStr">
        <is>
          <t>（未填写原因，需补）</t>
        </is>
      </c>
      <c r="J579" s="5" t="inlineStr">
        <is>
          <t>通过</t>
        </is>
      </c>
      <c r="K579" s="2" t="n"/>
      <c r="L579" s="2" t="inlineStr">
        <is>
          <t>2026-08-18</t>
        </is>
      </c>
      <c r="M579" s="3" t="inlineStr">
        <is>
          <t>现场实测补充用例</t>
        </is>
      </c>
      <c r="N579" s="2" t="inlineStr">
        <is>
          <t>查询 / 设备总览</t>
        </is>
      </c>
    </row>
    <row r="580">
      <c r="A580" s="2" t="n">
        <v>579</v>
      </c>
      <c r="B580" s="2" t="inlineStr">
        <is>
          <t>UI-03.6</t>
        </is>
      </c>
      <c r="C580" s="3" t="inlineStr">
        <is>
          <t>人机菜单(产品级)</t>
        </is>
      </c>
      <c r="D580" s="3" t="inlineStr">
        <is>
          <t>设备总览·详情返回按钮</t>
        </is>
      </c>
      <c r="E580" s="2" t="inlineStr">
        <is>
          <t>P1</t>
        </is>
      </c>
      <c r="F580" s="3" t="inlineStr">
        <is>
          <t>现场补充</t>
        </is>
      </c>
      <c r="G580" s="3" t="inlineStr">
        <is>
          <t>设备总览</t>
        </is>
      </c>
      <c r="H580" s="3" t="inlineStr">
        <is>
          <t>设备详情页面，右上角应该显示返回按钮，点击右上角返回按钮，正常应该能返回到上一页</t>
        </is>
      </c>
      <c r="I580" s="3" t="inlineStr">
        <is>
          <t>显示的菜单按钮，点击无响应</t>
        </is>
      </c>
      <c r="J580" s="7" t="inlineStr">
        <is>
          <t>不通过</t>
        </is>
      </c>
      <c r="K580" s="2" t="n"/>
      <c r="L580" s="2" t="inlineStr">
        <is>
          <t>2026-08-18</t>
        </is>
      </c>
      <c r="M580" s="3" t="inlineStr">
        <is>
          <t>现场实测补充用例</t>
        </is>
      </c>
      <c r="N580" s="2" t="inlineStr">
        <is>
          <t>查询 / 设备总览</t>
        </is>
      </c>
    </row>
    <row r="581">
      <c r="A581" s="2" t="n">
        <v>580</v>
      </c>
      <c r="B581" s="2" t="inlineStr">
        <is>
          <t>UI-05.2</t>
        </is>
      </c>
      <c r="C581" s="3" t="inlineStr">
        <is>
          <t>人机菜单(产品级)</t>
        </is>
      </c>
      <c r="D581" s="3" t="inlineStr">
        <is>
          <t>级联从机·返回按钮</t>
        </is>
      </c>
      <c r="E581" s="2" t="inlineStr">
        <is>
          <t>P1</t>
        </is>
      </c>
      <c r="F581" s="3" t="inlineStr">
        <is>
          <t>现场补充</t>
        </is>
      </c>
      <c r="G581" s="3" t="inlineStr">
        <is>
          <t>级联从机</t>
        </is>
      </c>
      <c r="H581" s="3" t="inlineStr">
        <is>
          <t>级联从机页面，右上角应该显示返回按钮，点击右上角返回按钮，正常应该能返回到上一页</t>
        </is>
      </c>
      <c r="I581" s="3" t="inlineStr">
        <is>
          <t>显示的菜单按钮，点击到了菜单页</t>
        </is>
      </c>
      <c r="J581" s="7" t="inlineStr">
        <is>
          <t>不通过</t>
        </is>
      </c>
      <c r="K581" s="2" t="n"/>
      <c r="L581" s="2" t="inlineStr">
        <is>
          <t>2026-08-18</t>
        </is>
      </c>
      <c r="M581" s="3" t="inlineStr">
        <is>
          <t>现场实测补充用例</t>
        </is>
      </c>
      <c r="N581" s="2" t="inlineStr">
        <is>
          <t>查询 / 级联从机</t>
        </is>
      </c>
    </row>
    <row r="582">
      <c r="A582" s="2" t="n">
        <v>581</v>
      </c>
      <c r="B582" s="2" t="inlineStr">
        <is>
          <t>UI-04.4</t>
        </is>
      </c>
      <c r="C582" s="3" t="inlineStr">
        <is>
          <t>人机菜单(产品级)</t>
        </is>
      </c>
      <c r="D582" s="3" t="inlineStr">
        <is>
          <t>单点查询·正确地址可查</t>
        </is>
      </c>
      <c r="E582" s="2" t="inlineStr">
        <is>
          <t>P1</t>
        </is>
      </c>
      <c r="F582" s="3" t="inlineStr">
        <is>
          <t>现场补充</t>
        </is>
      </c>
      <c r="G582" s="3" t="inlineStr">
        <is>
          <t>单点查询</t>
        </is>
      </c>
      <c r="H582" s="3" t="inlineStr">
        <is>
          <t>输入正确的设备地址，能查到设备</t>
        </is>
      </c>
      <c r="I582" s="4" t="inlineStr">
        <is>
          <t>（未填写原因，需补）</t>
        </is>
      </c>
      <c r="J582" s="5" t="inlineStr">
        <is>
          <t>通过</t>
        </is>
      </c>
      <c r="K582" s="2" t="n"/>
      <c r="L582" s="2" t="inlineStr">
        <is>
          <t>2026-08-18</t>
        </is>
      </c>
      <c r="M582" s="3" t="inlineStr">
        <is>
          <t>现场实测补充用例</t>
        </is>
      </c>
      <c r="N582" s="2" t="inlineStr">
        <is>
          <t>查询 / 单点查询</t>
        </is>
      </c>
    </row>
    <row r="583">
      <c r="A583" s="2" t="n">
        <v>582</v>
      </c>
      <c r="B583" s="2" t="inlineStr">
        <is>
          <t>UI-04.5</t>
        </is>
      </c>
      <c r="C583" s="3" t="inlineStr">
        <is>
          <t>人机菜单(产品级)</t>
        </is>
      </c>
      <c r="D583" s="3" t="inlineStr">
        <is>
          <t>单点查询·错误地址查不到</t>
        </is>
      </c>
      <c r="E583" s="2" t="inlineStr">
        <is>
          <t>P1</t>
        </is>
      </c>
      <c r="F583" s="3" t="inlineStr">
        <is>
          <t>现场补充</t>
        </is>
      </c>
      <c r="G583" s="3" t="inlineStr">
        <is>
          <t>单点查询</t>
        </is>
      </c>
      <c r="H583" s="3" t="inlineStr">
        <is>
          <t>输入错误的设备地址，查不到设备</t>
        </is>
      </c>
      <c r="I583" s="4" t="inlineStr">
        <is>
          <t>（未填写原因，需补）</t>
        </is>
      </c>
      <c r="J583" s="5" t="inlineStr">
        <is>
          <t>通过</t>
        </is>
      </c>
      <c r="K583" s="2" t="n"/>
      <c r="L583" s="2" t="inlineStr">
        <is>
          <t>2026-08-18</t>
        </is>
      </c>
      <c r="M583" s="3" t="inlineStr">
        <is>
          <t>现场实测补充用例</t>
        </is>
      </c>
      <c r="N583" s="2" t="inlineStr">
        <is>
          <t>查询 / 单点查询</t>
        </is>
      </c>
    </row>
    <row r="584">
      <c r="A584" s="15" t="n">
        <v>583</v>
      </c>
      <c r="B584" s="15" t="inlineStr">
        <is>
          <t>FT-04.5</t>
        </is>
      </c>
      <c r="C584" s="15" t="inlineStr">
        <is>
          <t>故障报警</t>
        </is>
      </c>
      <c r="D584" s="15" t="inlineStr">
        <is>
          <t>消音灯·新故障熄灭</t>
        </is>
      </c>
      <c r="E584" s="15" t="inlineStr">
        <is>
          <t>P0</t>
        </is>
      </c>
      <c r="F584" s="15" t="inlineStr">
        <is>
          <t>5.4.3.2/5.3.1.5</t>
        </is>
      </c>
      <c r="G584" s="15" t="inlineStr">
        <is>
          <t>故障①→消音（灯亮）→制造故障②（拔另一部件支线）</t>
        </is>
      </c>
      <c r="H584" s="15" t="inlineStr">
        <is>
          <t>声再启动的同时消音灯熄灭——消音灯指示『当前消音状态』，声音重新启动即状态结束</t>
        </is>
      </c>
      <c r="I584" s="15" t="inlineStr">
        <is>
          <t>新故障输入后消音灯仍亮</t>
        </is>
      </c>
      <c r="J584" s="15" t="inlineStr">
        <is>
          <t>不通过</t>
        </is>
      </c>
      <c r="K584" s="15" t="n"/>
      <c r="L584" s="15" t="inlineStr">
        <is>
          <t>2026-08-19</t>
        </is>
      </c>
      <c r="M584" s="15" t="inlineStr">
        <is>
          <t>现场实测补充用例；声再启动正常（FT-04.1 通过），仅灯状态机错；疑与 UI-11.5 消音灯常亮同源</t>
        </is>
      </c>
    </row>
    <row r="585">
      <c r="A585" s="15" t="n">
        <v>584</v>
      </c>
      <c r="B585" s="15" t="inlineStr">
        <is>
          <t>FT-01.5</t>
        </is>
      </c>
      <c r="C585" s="15" t="inlineStr">
        <is>
          <t>故障报警</t>
        </is>
      </c>
      <c r="D585" s="15" t="inlineStr">
        <is>
          <t>回路断路</t>
        </is>
      </c>
      <c r="E585" s="15" t="inlineStr">
        <is>
          <t>P0</t>
        </is>
      </c>
      <c r="F585" s="15" t="inlineStr">
        <is>
          <t>5.4.3.3 a)</t>
        </is>
      </c>
      <c r="G585" s="15" t="inlineStr">
        <is>
          <t>拔部件支线</t>
        </is>
      </c>
      <c r="H585" s="15" t="inlineStr">
        <is>
          <t>≤100 s 报障并指示部位</t>
        </is>
      </c>
      <c r="I585" s="15" t="n"/>
      <c r="J585" s="15" t="inlineStr">
        <is>
          <t>通过</t>
        </is>
      </c>
      <c r="K585" s="15" t="n"/>
      <c r="L585" s="15" t="inlineStr">
        <is>
          <t>2026-08-19</t>
        </is>
      </c>
      <c r="M585" s="15" t="inlineStr">
        <is>
          <t>继承原 FT-01 整案通过（断路已实测：输入1断路故障）</t>
        </is>
      </c>
    </row>
    <row r="586">
      <c r="A586" s="15" t="n">
        <v>585</v>
      </c>
      <c r="B586" s="15" t="inlineStr">
        <is>
          <t>FT-01.6</t>
        </is>
      </c>
      <c r="C586" s="15" t="inlineStr">
        <is>
          <t>故障报警</t>
        </is>
      </c>
      <c r="D586" s="15" t="inlineStr">
        <is>
          <t>回路短路</t>
        </is>
      </c>
      <c r="E586" s="15" t="inlineStr">
        <is>
          <t>P0</t>
        </is>
      </c>
      <c r="F586" s="15" t="inlineStr">
        <is>
          <t>5.4.3.3 a)</t>
        </is>
      </c>
      <c r="G586" s="15" t="inlineStr">
        <is>
          <t>总线两线短接</t>
        </is>
      </c>
      <c r="H586" s="15" t="inlineStr">
        <is>
          <t>≤100 s 报障（总线制短路应报故障）</t>
        </is>
      </c>
      <c r="I586" s="15" t="n"/>
      <c r="J586" s="15" t="inlineStr">
        <is>
          <t>通过</t>
        </is>
      </c>
      <c r="K586" s="15" t="n"/>
      <c r="L586" s="15" t="inlineStr">
        <is>
          <t>2026-09-03</t>
        </is>
      </c>
      <c r="M586" s="15" t="n"/>
    </row>
    <row r="587">
      <c r="A587" s="15" t="n">
        <v>586</v>
      </c>
      <c r="B587" s="15" t="inlineStr">
        <is>
          <t>FT-01.7</t>
        </is>
      </c>
      <c r="C587" s="15" t="inlineStr">
        <is>
          <t>故障报警</t>
        </is>
      </c>
      <c r="D587" s="15" t="inlineStr">
        <is>
          <t>影响功能的接地</t>
        </is>
      </c>
      <c r="E587" s="15" t="inlineStr">
        <is>
          <t>P0</t>
        </is>
      </c>
      <c r="F587" s="15" t="inlineStr">
        <is>
          <t>5.4.3.3 a)</t>
        </is>
      </c>
      <c r="G587" s="15" t="inlineStr">
        <is>
          <t>回路线直接碰机壳</t>
        </is>
      </c>
      <c r="H587" s="15" t="inlineStr">
        <is>
          <t>≤100 s 报障；火警下仍须显示（尾注例外）</t>
        </is>
      </c>
      <c r="I587" s="15" t="n"/>
      <c r="J587" s="15" t="inlineStr">
        <is>
          <t>通过</t>
        </is>
      </c>
      <c r="K587" s="15" t="n"/>
      <c r="L587" s="15" t="inlineStr">
        <is>
          <t>2026-09-03</t>
        </is>
      </c>
      <c r="M587" s="15" t="n"/>
    </row>
    <row r="588">
      <c r="A588" s="15" t="n">
        <v>587</v>
      </c>
      <c r="B588" s="15" t="inlineStr">
        <is>
          <t>FT-01.8</t>
        </is>
      </c>
      <c r="C588" s="15" t="inlineStr">
        <is>
          <t>故障报警</t>
        </is>
      </c>
      <c r="D588" s="15" t="inlineStr">
        <is>
          <t>探头与底座断路</t>
        </is>
      </c>
      <c r="E588" s="15" t="inlineStr">
        <is>
          <t>P0</t>
        </is>
      </c>
      <c r="F588" s="15" t="inlineStr">
        <is>
          <t>5.4.3.3 a) 尾句</t>
        </is>
      </c>
      <c r="G588" s="15" t="inlineStr">
        <is>
          <t>拧下探头保留底座</t>
        </is>
      </c>
      <c r="H588" s="15" t="inlineStr">
        <is>
          <t>≤100 s 报该部位故障（防拆）</t>
        </is>
      </c>
      <c r="I588" s="15" t="n"/>
      <c r="J588" s="15" t="inlineStr">
        <is>
          <t>通过</t>
        </is>
      </c>
      <c r="K588" s="15" t="n"/>
      <c r="L588" s="15" t="inlineStr">
        <is>
          <t>2026-09-03</t>
        </is>
      </c>
      <c r="M588" s="15" t="n"/>
    </row>
    <row r="589">
      <c r="A589" s="15" t="n">
        <v>588</v>
      </c>
      <c r="B589" s="15" t="inlineStr">
        <is>
          <t>FT-01.9</t>
        </is>
      </c>
      <c r="C589" s="15" t="inlineStr">
        <is>
          <t>故障报警</t>
        </is>
      </c>
      <c r="D589" s="15" t="inlineStr">
        <is>
          <t>手报及传输部件连线故障</t>
        </is>
      </c>
      <c r="E589" s="15" t="inlineStr">
        <is>
          <t>P0</t>
        </is>
      </c>
      <c r="F589" s="15" t="inlineStr">
        <is>
          <t>5.4.3.3 a)</t>
        </is>
      </c>
      <c r="G589" s="15" t="inlineStr">
        <is>
          <t>断/短/接地分别制造</t>
        </is>
      </c>
      <c r="H589" s="15" t="inlineStr">
        <is>
          <t>≤100 s 报障指示部位</t>
        </is>
      </c>
      <c r="I589" s="15" t="n"/>
      <c r="J589" s="15" t="inlineStr">
        <is>
          <t>通过</t>
        </is>
      </c>
      <c r="K589" s="15" t="n"/>
      <c r="L589" s="15" t="n"/>
      <c r="M589" s="15" t="inlineStr">
        <is>
          <t>待条件：需手报</t>
        </is>
      </c>
    </row>
    <row r="590">
      <c r="A590" s="15" t="n">
        <v>589</v>
      </c>
      <c r="B590" s="15" t="inlineStr">
        <is>
          <t>FT-02.3</t>
        </is>
      </c>
      <c r="C590" s="15" t="inlineStr">
        <is>
          <t>故障报警</t>
        </is>
      </c>
      <c r="D590" s="15" t="inlineStr">
        <is>
          <t>火灾显示盘连线故障</t>
        </is>
      </c>
      <c r="E590" s="15" t="inlineStr">
        <is>
          <t>P0</t>
        </is>
      </c>
      <c r="F590" s="15" t="inlineStr">
        <is>
          <t>5.4.3.3 b)</t>
        </is>
      </c>
      <c r="G590" s="15" t="inlineStr">
        <is>
          <t>断/短/接地分别制造</t>
        </is>
      </c>
      <c r="H590" s="15" t="inlineStr">
        <is>
          <t>≤100 s 报障指示部位</t>
        </is>
      </c>
      <c r="I590" s="15" t="n"/>
      <c r="J590" s="15" t="inlineStr">
        <is>
          <t>待测</t>
        </is>
      </c>
      <c r="K590" s="15" t="n"/>
      <c r="L590" s="15" t="n"/>
      <c r="M590" s="15" t="inlineStr">
        <is>
          <t>待条件：需火灾显示盘；可先用注册无硬件法验监督路径</t>
        </is>
      </c>
    </row>
    <row r="591">
      <c r="A591" s="15" t="n">
        <v>590</v>
      </c>
      <c r="B591" s="15" t="inlineStr">
        <is>
          <t>FT-02.4</t>
        </is>
      </c>
      <c r="C591" s="15" t="inlineStr">
        <is>
          <t>故障报警</t>
        </is>
      </c>
      <c r="D591" s="15" t="inlineStr">
        <is>
          <t>传输设备连线故障</t>
        </is>
      </c>
      <c r="E591" s="15" t="inlineStr">
        <is>
          <t>P0</t>
        </is>
      </c>
      <c r="F591" s="15" t="inlineStr">
        <is>
          <t>5.4.3.3 c)</t>
        </is>
      </c>
      <c r="G591" s="15" t="inlineStr">
        <is>
          <t>断/短/接地分别制造</t>
        </is>
      </c>
      <c r="H591" s="15" t="inlineStr">
        <is>
          <t>≤100 s 报障；火警下显示不受影响</t>
        </is>
      </c>
      <c r="I591" s="15" t="n"/>
      <c r="J591" s="15" t="inlineStr">
        <is>
          <t>待测</t>
        </is>
      </c>
      <c r="K591" s="15" t="n"/>
      <c r="L591" s="15" t="n"/>
      <c r="M591" s="15" t="inlineStr">
        <is>
          <t>待条件：需传输装置</t>
        </is>
      </c>
    </row>
    <row r="592">
      <c r="A592" s="15" t="n">
        <v>591</v>
      </c>
      <c r="B592" s="15" t="inlineStr">
        <is>
          <t>FT-02.5</t>
        </is>
      </c>
      <c r="C592" s="15" t="inlineStr">
        <is>
          <t>故障报警</t>
        </is>
      </c>
      <c r="D592" s="15" t="inlineStr">
        <is>
          <t>无线设备通信故障</t>
        </is>
      </c>
      <c r="E592" s="15" t="inlineStr">
        <is>
          <t>P0</t>
        </is>
      </c>
      <c r="F592" s="15" t="inlineStr">
        <is>
          <t>5.4.3.3 e)</t>
        </is>
      </c>
      <c r="G592" s="15" t="inlineStr">
        <is>
          <t>使无线通信中断</t>
        </is>
      </c>
      <c r="H592" s="15" t="inlineStr">
        <is>
          <t>≤100 s 报障；火警下显示不受影响</t>
        </is>
      </c>
      <c r="I592" s="15" t="n"/>
      <c r="J592" s="15" t="inlineStr">
        <is>
          <t>待测</t>
        </is>
      </c>
      <c r="K592" s="15" t="n"/>
      <c r="L592" s="15" t="inlineStr">
        <is>
          <t>2026-08-19</t>
        </is>
      </c>
      <c r="M592" s="15" t="inlineStr">
        <is>
          <t>条件适用条款：产品无无线设备</t>
        </is>
      </c>
    </row>
    <row r="593">
      <c r="A593" s="15" t="n">
        <v>592</v>
      </c>
      <c r="B593" s="15" t="inlineStr">
        <is>
          <t>GE-22</t>
        </is>
      </c>
      <c r="C593" s="15" t="inlineStr">
        <is>
          <t>气体灭火控制器</t>
        </is>
      </c>
      <c r="D593" s="15" t="inlineStr">
        <is>
          <t>强启路径·放气勿入指示牌</t>
        </is>
      </c>
      <c r="E593" s="15" t="inlineStr">
        <is>
          <t>P0</t>
        </is>
      </c>
      <c r="F593" s="15" t="inlineStr">
        <is>
          <t>GB16806 4.3.2.2 d)/e)</t>
        </is>
      </c>
      <c r="G593" s="15" t="inlineStr">
        <is>
          <t>强启（紧急启动，跳过延时）→ 启动喷洒；启动及反馈信号有效期间观察现场『放气勿入』指示牌</t>
        </is>
      </c>
      <c r="H593" s="15" t="inlineStr">
        <is>
          <t>喷洒控制信号发出后『放气勿入』指示牌（喷洒光警报器）应点亮，保持至复位</t>
        </is>
      </c>
      <c r="I593" s="15" t="inlineStr">
        <is>
          <t>强启后启动/反馈信号有效时，放气勿入指示牌未亮</t>
        </is>
      </c>
      <c r="J593" s="15" t="inlineStr">
        <is>
          <t>不通过</t>
        </is>
      </c>
      <c r="K593" s="15" t="n"/>
      <c r="L593" s="15" t="inlineStr">
        <is>
          <t>2026-08-27</t>
        </is>
      </c>
      <c r="M593" s="15" t="inlineStr">
        <is>
          <t>现场实测补充用例；气体灭火控制器模块</t>
        </is>
      </c>
    </row>
  </sheetData>
  <autoFilter ref="A1:N593"/>
  <dataValidations count="1">
    <dataValidation sqref="J2:J635" showDropDown="0" showInputMessage="0" showErrorMessage="0" allowBlank="1" type="list">
      <formula1>"通过,不通过,不适用,待测"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9" t="inlineStr">
        <is>
          <t>指标</t>
        </is>
      </c>
      <c r="B1" s="9" t="inlineStr">
        <is>
          <t>值</t>
        </is>
      </c>
    </row>
    <row r="2">
      <c r="A2" t="inlineStr">
        <is>
          <t>用例总数</t>
        </is>
      </c>
      <c r="B2" t="n">
        <v>592</v>
      </c>
    </row>
    <row r="3">
      <c r="A3" s="10" t="inlineStr">
        <is>
          <t>★ 真正已测(通过+不通过)</t>
        </is>
      </c>
      <c r="B3">
        <f>COUNTIF(测试执行表!$J$2:$J$606,"通过")+COUNTIF(测试执行表!$J$2:$J$606,"不通过")</f>
        <v/>
      </c>
    </row>
    <row r="4">
      <c r="A4" t="inlineStr">
        <is>
          <t>通过</t>
        </is>
      </c>
      <c r="B4">
        <f>COUNTIF(测试执行表!$J$2:$J$606,"通过")</f>
        <v/>
      </c>
    </row>
    <row r="5">
      <c r="A5" t="inlineStr">
        <is>
          <t>不通过</t>
        </is>
      </c>
      <c r="B5">
        <f>COUNTIF(测试执行表!$J$2:$J$606,"不通过")</f>
        <v/>
      </c>
    </row>
    <row r="6">
      <c r="A6" t="inlineStr">
        <is>
          <t>不适用</t>
        </is>
      </c>
      <c r="B6">
        <f>COUNTIF(测试执行表!$J$2:$J$606,"不适用")</f>
        <v/>
      </c>
    </row>
    <row r="7">
      <c r="A7" t="inlineStr">
        <is>
          <t>待测</t>
        </is>
      </c>
      <c r="B7">
        <f>COUNTIF(测试执行表!$J$2:$J$606,"待测")</f>
        <v/>
      </c>
    </row>
    <row r="8">
      <c r="A8" t="inlineStr">
        <is>
          <t>暂不测试</t>
        </is>
      </c>
      <c r="B8">
        <f>COUNTIF(测试执行表!$J$2:$J$606,"暂不测试")</f>
        <v/>
      </c>
    </row>
    <row r="9">
      <c r="A9" t="inlineStr">
        <is>
          <t>完全未填</t>
        </is>
      </c>
      <c r="B9">
        <f>COUNTBLANK(测试执行表!$J$2:$J$606)</f>
        <v/>
      </c>
    </row>
    <row r="10">
      <c r="A10" t="inlineStr">
        <is>
          <t>通过率(通过/真正已测)</t>
        </is>
      </c>
      <c r="B10" s="11">
        <f>IF(B3=0,"-",B4/B3)</f>
        <v/>
      </c>
    </row>
    <row r="11">
      <c r="A11" t="inlineStr">
        <is>
          <t>覆盖率(真正已测/总数)</t>
        </is>
      </c>
      <c r="B11" s="11">
        <f>IF(B2=0,"-",B3/B2)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8" customWidth="1" min="4" max="4"/>
    <col width="8" customWidth="1" min="5" max="5"/>
    <col width="8" customWidth="1" min="6" max="6"/>
    <col width="10" customWidth="1" min="7" max="7"/>
    <col width="8" customWidth="1" min="8" max="8"/>
    <col width="12" customWidth="1" min="9" max="9"/>
    <col width="12" customWidth="1" min="10" max="10"/>
  </cols>
  <sheetData>
    <row r="1">
      <c r="A1" s="14" t="inlineStr">
        <is>
          <t>大类</t>
        </is>
      </c>
      <c r="B1" s="14" t="inlineStr">
        <is>
          <t>菜单项</t>
        </is>
      </c>
      <c r="C1" s="14" t="inlineStr">
        <is>
          <t>对应用例</t>
        </is>
      </c>
      <c r="D1" s="14" t="inlineStr">
        <is>
          <t>用例数</t>
        </is>
      </c>
      <c r="E1" s="14" t="inlineStr">
        <is>
          <t>通过</t>
        </is>
      </c>
      <c r="F1" s="14" t="inlineStr">
        <is>
          <t>不通过</t>
        </is>
      </c>
      <c r="G1" s="14" t="inlineStr">
        <is>
          <t>待测/暂不</t>
        </is>
      </c>
      <c r="H1" s="14" t="inlineStr">
        <is>
          <t>未填</t>
        </is>
      </c>
      <c r="I1" s="14" t="inlineStr">
        <is>
          <t>照片上的权限</t>
        </is>
      </c>
      <c r="J1" s="14" t="inlineStr">
        <is>
          <t>备注</t>
        </is>
      </c>
    </row>
    <row r="2">
      <c r="A2" s="15" t="inlineStr">
        <is>
          <t>查询</t>
        </is>
      </c>
      <c r="B2" s="15" t="inlineStr">
        <is>
          <t>历史记录</t>
        </is>
      </c>
      <c r="C2" s="15" t="inlineStr">
        <is>
          <t>DP-05、DP-06、DP-07、DP-08、DP-09、DP-10…</t>
        </is>
      </c>
      <c r="D2" s="15" t="n">
        <v>15</v>
      </c>
      <c r="E2" s="15" t="n">
        <v>6</v>
      </c>
      <c r="F2" s="15" t="n">
        <v>5</v>
      </c>
      <c r="G2" s="15" t="n">
        <v>1</v>
      </c>
      <c r="H2" s="15" t="n">
        <v>3</v>
      </c>
      <c r="I2" s="15" t="inlineStr">
        <is>
          <t>操作员</t>
        </is>
      </c>
      <c r="J2" s="15" t="n"/>
    </row>
    <row r="3">
      <c r="A3" s="15" t="inlineStr">
        <is>
          <t>查询</t>
        </is>
      </c>
      <c r="B3" s="15" t="inlineStr">
        <is>
          <t>控制器信息</t>
        </is>
      </c>
      <c r="C3" s="15" t="inlineStr">
        <is>
          <t>UI-02</t>
        </is>
      </c>
      <c r="D3" s="15" t="n">
        <v>1</v>
      </c>
      <c r="E3" s="15" t="n">
        <v>0</v>
      </c>
      <c r="F3" s="15" t="n">
        <v>1</v>
      </c>
      <c r="G3" s="15" t="n">
        <v>0</v>
      </c>
      <c r="H3" s="15" t="n">
        <v>0</v>
      </c>
      <c r="I3" s="15" t="inlineStr">
        <is>
          <t>操作员</t>
        </is>
      </c>
      <c r="J3" s="15" t="n"/>
    </row>
    <row r="4">
      <c r="A4" s="15" t="inlineStr">
        <is>
          <t>查询</t>
        </is>
      </c>
      <c r="B4" s="15" t="inlineStr">
        <is>
          <t>级联从机</t>
        </is>
      </c>
      <c r="C4" s="15" t="inlineStr">
        <is>
          <t>UI-05、UI-05.1、UI-05.2</t>
        </is>
      </c>
      <c r="D4" s="15" t="n">
        <v>3</v>
      </c>
      <c r="E4" s="15" t="n">
        <v>0</v>
      </c>
      <c r="F4" s="15" t="n">
        <v>2</v>
      </c>
      <c r="G4" s="15" t="n">
        <v>0</v>
      </c>
      <c r="H4" s="15" t="n">
        <v>1</v>
      </c>
      <c r="I4" s="15" t="inlineStr">
        <is>
          <t>操作员</t>
        </is>
      </c>
      <c r="J4" s="15" t="n"/>
    </row>
    <row r="5">
      <c r="A5" s="15" t="inlineStr">
        <is>
          <t>查询</t>
        </is>
      </c>
      <c r="B5" s="15" t="inlineStr">
        <is>
          <t>设备总览</t>
        </is>
      </c>
      <c r="C5" s="15" t="inlineStr">
        <is>
          <t>UI-03、UI-03.1、UI-03.2、UI-03.3、UI-03.4、UI-03.5…</t>
        </is>
      </c>
      <c r="D5" s="15" t="n">
        <v>7</v>
      </c>
      <c r="E5" s="15" t="n">
        <v>4</v>
      </c>
      <c r="F5" s="15" t="n">
        <v>2</v>
      </c>
      <c r="G5" s="15" t="n">
        <v>0</v>
      </c>
      <c r="H5" s="15" t="n">
        <v>1</v>
      </c>
      <c r="I5" s="15" t="inlineStr">
        <is>
          <t>操作员</t>
        </is>
      </c>
      <c r="J5" s="15" t="n"/>
    </row>
    <row r="6">
      <c r="A6" s="15" t="inlineStr">
        <is>
          <t>查询</t>
        </is>
      </c>
      <c r="B6" s="15" t="inlineStr">
        <is>
          <t>单点查询</t>
        </is>
      </c>
      <c r="C6" s="15" t="inlineStr">
        <is>
          <t>UI-04、UI-04.1、UI-04.2、UI-04.3、UI-04.4、UI-04.5</t>
        </is>
      </c>
      <c r="D6" s="15" t="n">
        <v>6</v>
      </c>
      <c r="E6" s="15" t="n">
        <v>2</v>
      </c>
      <c r="F6" s="15" t="n">
        <v>1</v>
      </c>
      <c r="G6" s="15" t="n">
        <v>0</v>
      </c>
      <c r="H6" s="15" t="n">
        <v>3</v>
      </c>
      <c r="I6" s="15" t="inlineStr">
        <is>
          <t>操作员</t>
        </is>
      </c>
      <c r="J6" s="15" t="n"/>
    </row>
    <row r="7">
      <c r="A7" s="15" t="inlineStr">
        <is>
          <t>查询</t>
        </is>
      </c>
      <c r="B7" s="15" t="inlineStr">
        <is>
          <t>检查信息</t>
        </is>
      </c>
      <c r="C7" s="15" t="inlineStr">
        <is>
          <t>CK-01、CK-01.1、CK-01.2、CK-01.3、CK-01.4、CK-02…</t>
        </is>
      </c>
      <c r="D7" s="15" t="n">
        <v>21</v>
      </c>
      <c r="E7" s="15" t="n">
        <v>5</v>
      </c>
      <c r="F7" s="15" t="n">
        <v>0</v>
      </c>
      <c r="G7" s="15" t="n">
        <v>8</v>
      </c>
      <c r="H7" s="15" t="n">
        <v>8</v>
      </c>
      <c r="I7" s="15" t="inlineStr">
        <is>
          <t>操作员</t>
        </is>
      </c>
      <c r="J7" s="15" t="n"/>
    </row>
    <row r="8">
      <c r="A8" s="15" t="inlineStr">
        <is>
          <t>监控&amp;控制</t>
        </is>
      </c>
      <c r="B8" s="15" t="inlineStr">
        <is>
          <t>节点设备监控</t>
        </is>
      </c>
      <c r="C8" s="15" t="inlineStr">
        <is>
          <t>UI-07、UI-07.1、UI-07.2、UI-07.3、UI-07.4</t>
        </is>
      </c>
      <c r="D8" s="15" t="n">
        <v>5</v>
      </c>
      <c r="E8" s="15" t="n">
        <v>0</v>
      </c>
      <c r="F8" s="15" t="n">
        <v>1</v>
      </c>
      <c r="G8" s="15" t="n">
        <v>1</v>
      </c>
      <c r="H8" s="15" t="n">
        <v>3</v>
      </c>
      <c r="I8" s="15" t="inlineStr">
        <is>
          <t>操作</t>
        </is>
      </c>
      <c r="J8" s="15" t="n"/>
    </row>
    <row r="9">
      <c r="A9" s="15" t="inlineStr">
        <is>
          <t>监控&amp;控制</t>
        </is>
      </c>
      <c r="B9" s="15" t="inlineStr">
        <is>
          <t>通讯成功率</t>
        </is>
      </c>
      <c r="C9" s="15" t="inlineStr">
        <is>
          <t>UI-08、UI-08.1、UI-08.2、UI-08.3、UI-08.4、UI-08.5</t>
        </is>
      </c>
      <c r="D9" s="15" t="n">
        <v>6</v>
      </c>
      <c r="E9" s="15" t="n">
        <v>1</v>
      </c>
      <c r="F9" s="15" t="n">
        <v>1</v>
      </c>
      <c r="G9" s="15" t="n">
        <v>1</v>
      </c>
      <c r="H9" s="15" t="n">
        <v>3</v>
      </c>
      <c r="I9" s="15" t="inlineStr">
        <is>
          <t>操作</t>
        </is>
      </c>
      <c r="J9" s="15" t="n"/>
    </row>
    <row r="10">
      <c r="A10" s="15" t="inlineStr">
        <is>
          <t>监控&amp;控制</t>
        </is>
      </c>
      <c r="B10" s="15" t="inlineStr">
        <is>
          <t>机内设备监控</t>
        </is>
      </c>
      <c r="C10" s="15" t="inlineStr">
        <is>
          <t>UI-09、UI-09.1、UI-09.2、UI-09.3、UI-09.4、UI-09.5</t>
        </is>
      </c>
      <c r="D10" s="15" t="n">
        <v>6</v>
      </c>
      <c r="E10" s="15" t="n">
        <v>1</v>
      </c>
      <c r="F10" s="15" t="n">
        <v>0</v>
      </c>
      <c r="G10" s="15" t="n">
        <v>2</v>
      </c>
      <c r="H10" s="15" t="n">
        <v>3</v>
      </c>
      <c r="I10" s="15" t="inlineStr">
        <is>
          <t>操作</t>
        </is>
      </c>
      <c r="J10" s="15" t="n"/>
    </row>
    <row r="11">
      <c r="A11" s="15" t="inlineStr">
        <is>
          <t>监控&amp;控制</t>
        </is>
      </c>
      <c r="B11" s="15" t="inlineStr">
        <is>
          <t>启停控制</t>
        </is>
      </c>
      <c r="C11" s="15" t="inlineStr">
        <is>
          <t>UI-10、UI-10.1、UI-10.2、UI-10.3、UI-10.4、UI-10.5</t>
        </is>
      </c>
      <c r="D11" s="15" t="n">
        <v>6</v>
      </c>
      <c r="E11" s="15" t="n">
        <v>2</v>
      </c>
      <c r="F11" s="15" t="n">
        <v>1</v>
      </c>
      <c r="G11" s="15" t="n">
        <v>1</v>
      </c>
      <c r="H11" s="15" t="n">
        <v>2</v>
      </c>
      <c r="I11" s="15" t="inlineStr">
        <is>
          <t>操作</t>
        </is>
      </c>
      <c r="J11" s="15" t="n"/>
    </row>
    <row r="12">
      <c r="A12" s="15" t="inlineStr">
        <is>
          <t>监控&amp;控制</t>
        </is>
      </c>
      <c r="B12" s="15" t="inlineStr">
        <is>
          <t>屏蔽控制</t>
        </is>
      </c>
      <c r="C12" s="15" t="inlineStr">
        <is>
          <t>SH-01、SH-01.1、SH-01.2、SH-01.3、SH-01.4、SH-02…</t>
        </is>
      </c>
      <c r="D12" s="15" t="n">
        <v>26</v>
      </c>
      <c r="E12" s="15" t="n">
        <v>2</v>
      </c>
      <c r="F12" s="15" t="n">
        <v>4</v>
      </c>
      <c r="G12" s="15" t="n">
        <v>1</v>
      </c>
      <c r="H12" s="15" t="n">
        <v>19</v>
      </c>
      <c r="I12" s="15" t="inlineStr">
        <is>
          <t>操作</t>
        </is>
      </c>
      <c r="J12" s="15" t="n"/>
    </row>
    <row r="13">
      <c r="A13" s="15" t="inlineStr">
        <is>
          <t>设置</t>
        </is>
      </c>
      <c r="B13" s="15" t="inlineStr">
        <is>
          <t>用户登陆</t>
        </is>
      </c>
      <c r="C13" s="15" t="inlineStr">
        <is>
          <t>UI-12、UI-12.1、UI-12.2、UI-12.3</t>
        </is>
      </c>
      <c r="D13" s="15" t="n">
        <v>4</v>
      </c>
      <c r="E13" s="15" t="n">
        <v>4</v>
      </c>
      <c r="F13" s="15" t="n">
        <v>0</v>
      </c>
      <c r="G13" s="15" t="n">
        <v>0</v>
      </c>
      <c r="H13" s="15" t="n">
        <v>0</v>
      </c>
      <c r="I13" s="15" t="inlineStr">
        <is>
          <t>操作</t>
        </is>
      </c>
      <c r="J13" s="15" t="n"/>
    </row>
    <row r="14">
      <c r="A14" s="15" t="inlineStr">
        <is>
          <t>设置</t>
        </is>
      </c>
      <c r="B14" s="15" t="inlineStr">
        <is>
          <t>基础设置</t>
        </is>
      </c>
      <c r="C14" s="15" t="inlineStr">
        <is>
          <t>UI-14、UI-14.1、UI-14.2、UI-14.3、UI-14.4、UI-14.5…</t>
        </is>
      </c>
      <c r="D14" s="15" t="n">
        <v>9</v>
      </c>
      <c r="E14" s="15" t="n">
        <v>1</v>
      </c>
      <c r="F14" s="15" t="n">
        <v>3</v>
      </c>
      <c r="G14" s="15" t="n">
        <v>1</v>
      </c>
      <c r="H14" s="15" t="n">
        <v>4</v>
      </c>
      <c r="I14" s="15" t="inlineStr">
        <is>
          <t>操作</t>
        </is>
      </c>
      <c r="J14" s="15" t="n"/>
    </row>
    <row r="15">
      <c r="A15" s="15" t="inlineStr">
        <is>
          <t>设置</t>
        </is>
      </c>
      <c r="B15" s="15" t="inlineStr">
        <is>
          <t>密码设置</t>
        </is>
      </c>
      <c r="C15" s="15" t="inlineStr">
        <is>
          <t>UI-13、UI-13.1、UI-13.2、UI-13.3、UI-13.4、UI-13.5</t>
        </is>
      </c>
      <c r="D15" s="15" t="n">
        <v>6</v>
      </c>
      <c r="E15" s="15" t="n">
        <v>3</v>
      </c>
      <c r="F15" s="15" t="n">
        <v>1</v>
      </c>
      <c r="G15" s="15" t="n">
        <v>0</v>
      </c>
      <c r="H15" s="15" t="n">
        <v>2</v>
      </c>
      <c r="I15" s="15" t="inlineStr">
        <is>
          <t>操作</t>
        </is>
      </c>
      <c r="J15" s="15" t="inlineStr">
        <is>
          <t>⚠️ 改 Ⅲ 级密码按 OP-02.2 应拒绝 Ⅱ 级；菜单标「操作」级需核</t>
        </is>
      </c>
    </row>
    <row r="16">
      <c r="A16" s="15" t="inlineStr">
        <is>
          <t>设置</t>
        </is>
      </c>
      <c r="B16" s="15" t="inlineStr">
        <is>
          <t>联网设置</t>
        </is>
      </c>
      <c r="C16" s="15" t="inlineStr">
        <is>
          <t>UI-15、UI-15.1、UI-15.2</t>
        </is>
      </c>
      <c r="D16" s="15" t="n">
        <v>3</v>
      </c>
      <c r="E16" s="15" t="n">
        <v>0</v>
      </c>
      <c r="F16" s="15" t="n">
        <v>0</v>
      </c>
      <c r="G16" s="15" t="n">
        <v>3</v>
      </c>
      <c r="H16" s="15" t="n">
        <v>0</v>
      </c>
      <c r="I16" s="15" t="inlineStr">
        <is>
          <t>操作</t>
        </is>
      </c>
      <c r="J16" s="15" t="inlineStr">
        <is>
          <t>⚠️ 参数修改属「输入/更改数据」，OP-02.2 要求 Ⅱ 级拒绝</t>
        </is>
      </c>
    </row>
    <row r="17">
      <c r="A17" s="15" t="inlineStr">
        <is>
          <t>设置</t>
        </is>
      </c>
      <c r="B17" s="15" t="inlineStr">
        <is>
          <t>节点设置</t>
        </is>
      </c>
      <c r="C17" s="15" t="inlineStr">
        <is>
          <t>UI-16、UI-16.1、UI-16.2</t>
        </is>
      </c>
      <c r="D17" s="15" t="n">
        <v>3</v>
      </c>
      <c r="E17" s="15" t="n">
        <v>0</v>
      </c>
      <c r="F17" s="15" t="n">
        <v>1</v>
      </c>
      <c r="G17" s="15" t="n">
        <v>0</v>
      </c>
      <c r="H17" s="15" t="n">
        <v>2</v>
      </c>
      <c r="I17" s="15" t="inlineStr">
        <is>
          <t>操作</t>
        </is>
      </c>
      <c r="J17" s="15" t="inlineStr">
        <is>
          <t>⚠️ 点表编辑属「数据修改」，OP-03.1 要求 Ⅲ 级；菜单标「操作」级需核</t>
        </is>
      </c>
    </row>
    <row r="18">
      <c r="A18" s="15" t="inlineStr">
        <is>
          <t>设置</t>
        </is>
      </c>
      <c r="B18" s="15" t="inlineStr">
        <is>
          <t>操作模式设置</t>
        </is>
      </c>
      <c r="C18" s="15" t="inlineStr">
        <is>
          <t>UI-17、UI-17.1、UI-17.2、UI-17.3</t>
        </is>
      </c>
      <c r="D18" s="15" t="n">
        <v>4</v>
      </c>
      <c r="E18" s="15" t="n">
        <v>1</v>
      </c>
      <c r="F18" s="15" t="n">
        <v>2</v>
      </c>
      <c r="G18" s="15" t="n">
        <v>1</v>
      </c>
      <c r="H18" s="15" t="n">
        <v>0</v>
      </c>
      <c r="I18" s="15" t="inlineStr">
        <is>
          <t>操作</t>
        </is>
      </c>
      <c r="J18" s="15" t="n"/>
    </row>
    <row r="19">
      <c r="A19" s="15" t="inlineStr">
        <is>
          <t>调试</t>
        </is>
      </c>
      <c r="B19" s="15" t="inlineStr">
        <is>
          <t>点位注册</t>
        </is>
      </c>
      <c r="C19" s="15" t="inlineStr">
        <is>
          <t>UI-18、UI-18.1、UI-18.2、UI-18.3、UI-18.4、UI-18.5</t>
        </is>
      </c>
      <c r="D19" s="15" t="n">
        <v>6</v>
      </c>
      <c r="E19" s="15" t="n">
        <v>2</v>
      </c>
      <c r="F19" s="15" t="n">
        <v>2</v>
      </c>
      <c r="G19" s="15" t="n">
        <v>1</v>
      </c>
      <c r="H19" s="15" t="n">
        <v>1</v>
      </c>
      <c r="I19" s="15" t="inlineStr">
        <is>
          <t>调试员</t>
        </is>
      </c>
      <c r="J19" s="15" t="n"/>
    </row>
    <row r="20">
      <c r="A20" s="15" t="inlineStr">
        <is>
          <t>调试</t>
        </is>
      </c>
      <c r="B20" s="15" t="inlineStr">
        <is>
          <t>配置导入</t>
        </is>
      </c>
      <c r="C20" s="15" t="inlineStr">
        <is>
          <t>UI-19、UI-19.1、UI-19.2、UI-19.3</t>
        </is>
      </c>
      <c r="D20" s="15" t="n">
        <v>4</v>
      </c>
      <c r="E20" s="15" t="n">
        <v>0</v>
      </c>
      <c r="F20" s="15" t="n">
        <v>1</v>
      </c>
      <c r="G20" s="15" t="n">
        <v>0</v>
      </c>
      <c r="H20" s="15" t="n">
        <v>3</v>
      </c>
      <c r="I20" s="15" t="inlineStr">
        <is>
          <t>调试员</t>
        </is>
      </c>
      <c r="J20" s="15" t="n"/>
    </row>
    <row r="21">
      <c r="A21" s="15" t="inlineStr">
        <is>
          <t>调试</t>
        </is>
      </c>
      <c r="B21" s="15" t="inlineStr">
        <is>
          <t>联动编程</t>
        </is>
      </c>
      <c r="C21" s="15" t="inlineStr">
        <is>
          <t>UI-20、UI-20.1、UI-20.2</t>
        </is>
      </c>
      <c r="D21" s="15" t="n">
        <v>3</v>
      </c>
      <c r="E21" s="15" t="n">
        <v>0</v>
      </c>
      <c r="F21" s="15" t="n">
        <v>1</v>
      </c>
      <c r="G21" s="15" t="n">
        <v>0</v>
      </c>
      <c r="H21" s="15" t="n">
        <v>2</v>
      </c>
      <c r="I21" s="15" t="inlineStr">
        <is>
          <t>调试员</t>
        </is>
      </c>
      <c r="J21" s="15" t="n"/>
    </row>
    <row r="22">
      <c r="A22" s="15" t="inlineStr">
        <is>
          <t>调试</t>
        </is>
      </c>
      <c r="B22" s="15" t="inlineStr">
        <is>
          <t>调试助手</t>
        </is>
      </c>
      <c r="C22" s="15" t="inlineStr">
        <is>
          <t>UI-21、UI-21.1、UI-21.2、UI-21.3、UI-21.4</t>
        </is>
      </c>
      <c r="D22" s="15" t="n">
        <v>5</v>
      </c>
      <c r="E22" s="15" t="n">
        <v>0</v>
      </c>
      <c r="F22" s="15" t="n">
        <v>0</v>
      </c>
      <c r="G22" s="15" t="n">
        <v>0</v>
      </c>
      <c r="H22" s="15" t="n">
        <v>5</v>
      </c>
      <c r="I22" s="15" t="inlineStr">
        <is>
          <t>调试员</t>
        </is>
      </c>
      <c r="J22" s="15" t="n"/>
    </row>
    <row r="23">
      <c r="A23" s="15" t="inlineStr">
        <is>
          <t>调试</t>
        </is>
      </c>
      <c r="B23" s="15" t="inlineStr">
        <is>
          <t>联网注册</t>
        </is>
      </c>
      <c r="C23" s="15" t="inlineStr">
        <is>
          <t>UI-22</t>
        </is>
      </c>
      <c r="D23" s="15" t="n">
        <v>1</v>
      </c>
      <c r="E23" s="15" t="n">
        <v>0</v>
      </c>
      <c r="F23" s="15" t="n">
        <v>0</v>
      </c>
      <c r="G23" s="15" t="n">
        <v>1</v>
      </c>
      <c r="H23" s="15" t="n">
        <v>0</v>
      </c>
      <c r="I23" s="15" t="inlineStr">
        <is>
          <t>调试员</t>
        </is>
      </c>
      <c r="J23" s="15" t="n"/>
    </row>
    <row r="24">
      <c r="A24" s="15" t="inlineStr">
        <is>
          <t>调试</t>
        </is>
      </c>
      <c r="B24" s="15" t="inlineStr">
        <is>
          <t>直控调试</t>
        </is>
      </c>
      <c r="C24" s="15" t="n"/>
      <c r="D24" s="15" t="n">
        <v>0</v>
      </c>
      <c r="E24" s="15" t="n">
        <v>0</v>
      </c>
      <c r="F24" s="15" t="n">
        <v>0</v>
      </c>
      <c r="G24" s="15" t="n">
        <v>0</v>
      </c>
      <c r="H24" s="15" t="n">
        <v>0</v>
      </c>
      <c r="I24" s="15" t="inlineStr">
        <is>
          <t>调试员</t>
        </is>
      </c>
      <c r="J24" s="15" t="inlineStr">
        <is>
          <t>⚠️ 与「调试助手」共用 UI-21，菜单上是两个独立入口，建议拆为 UI-21.1/.2</t>
        </is>
      </c>
    </row>
    <row r="25">
      <c r="A25" s="15" t="inlineStr">
        <is>
          <t>维护</t>
        </is>
      </c>
      <c r="B25" s="15" t="inlineStr">
        <is>
          <t>固件升级</t>
        </is>
      </c>
      <c r="C25" s="15" t="inlineStr">
        <is>
          <t>UI-23、UI-23.1、UI-23.2、UI-23.3</t>
        </is>
      </c>
      <c r="D25" s="15" t="n">
        <v>4</v>
      </c>
      <c r="E25" s="15" t="n">
        <v>0</v>
      </c>
      <c r="F25" s="15" t="n">
        <v>0</v>
      </c>
      <c r="G25" s="15" t="n">
        <v>0</v>
      </c>
      <c r="H25" s="15" t="n">
        <v>4</v>
      </c>
      <c r="I25" s="15" t="inlineStr">
        <is>
          <t>生产商</t>
        </is>
      </c>
      <c r="J25" s="15" t="n"/>
    </row>
    <row r="26">
      <c r="A26" s="15" t="inlineStr">
        <is>
          <t>维护</t>
        </is>
      </c>
      <c r="B26" s="15" t="inlineStr">
        <is>
          <t>记录导出</t>
        </is>
      </c>
      <c r="C26" s="15" t="inlineStr">
        <is>
          <t>UI-24、UI-24.1、UI-24.2、UI-24.3</t>
        </is>
      </c>
      <c r="D26" s="15" t="n">
        <v>4</v>
      </c>
      <c r="E26" s="15" t="n">
        <v>0</v>
      </c>
      <c r="F26" s="15" t="n">
        <v>0</v>
      </c>
      <c r="G26" s="15" t="n">
        <v>0</v>
      </c>
      <c r="H26" s="15" t="n">
        <v>4</v>
      </c>
      <c r="I26" s="15" t="inlineStr">
        <is>
          <t>生产商</t>
        </is>
      </c>
      <c r="J26" s="15" t="n"/>
    </row>
    <row r="27">
      <c r="A27" s="15" t="inlineStr">
        <is>
          <t>维护</t>
        </is>
      </c>
      <c r="B27" s="15" t="inlineStr">
        <is>
          <t>恢复出厂设置</t>
        </is>
      </c>
      <c r="C27" s="15" t="inlineStr">
        <is>
          <t>UI-25、UI-25.1、UI-25.2、UI-25.3、UI-25.4</t>
        </is>
      </c>
      <c r="D27" s="15" t="n">
        <v>5</v>
      </c>
      <c r="E27" s="15" t="n">
        <v>0</v>
      </c>
      <c r="F27" s="15" t="n">
        <v>0</v>
      </c>
      <c r="G27" s="15" t="n">
        <v>0</v>
      </c>
      <c r="H27" s="15" t="n">
        <v>5</v>
      </c>
      <c r="I27" s="15" t="inlineStr">
        <is>
          <t>生产商</t>
        </is>
      </c>
      <c r="J27" s="1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8" customWidth="1" min="4" max="4"/>
    <col width="40" customWidth="1" min="5" max="5"/>
    <col width="30" customWidth="1" min="6" max="6"/>
  </cols>
  <sheetData>
    <row r="1">
      <c r="A1" s="14" t="inlineStr">
        <is>
          <t>用例号</t>
        </is>
      </c>
      <c r="B1" s="14" t="inlineStr">
        <is>
          <t>菜单归属</t>
        </is>
      </c>
      <c r="C1" s="14" t="inlineStr">
        <is>
          <t>名称</t>
        </is>
      </c>
      <c r="D1" s="14" t="inlineStr">
        <is>
          <t>级</t>
        </is>
      </c>
      <c r="E1" s="14" t="inlineStr">
        <is>
          <t>实测结果</t>
        </is>
      </c>
      <c r="F1" s="14" t="inlineStr">
        <is>
          <t>疑似同源缺陷</t>
        </is>
      </c>
    </row>
    <row r="2">
      <c r="A2" s="15" t="inlineStr">
        <is>
          <t>FA-04</t>
        </is>
      </c>
      <c r="B2" s="15" t="n"/>
      <c r="C2" s="15" t="n"/>
      <c r="D2" s="15" t="inlineStr">
        <is>
          <t>可选</t>
        </is>
      </c>
      <c r="E2" s="15" t="inlineStr">
        <is>
          <t>报警延时功能未设置（未实现）</t>
        </is>
      </c>
      <c r="F2" s="15" t="n"/>
    </row>
    <row r="3">
      <c r="A3" s="15" t="inlineStr">
        <is>
          <t>FA-04.1</t>
        </is>
      </c>
      <c r="B3" s="15" t="n"/>
      <c r="C3" s="15" t="inlineStr">
        <is>
          <t>最大延时</t>
        </is>
      </c>
      <c r="D3" s="15" t="inlineStr">
        <is>
          <t>可选</t>
        </is>
      </c>
      <c r="E3" s="15" t="inlineStr">
        <is>
          <t>同 FA-04</t>
        </is>
      </c>
      <c r="F3" s="15" t="n"/>
    </row>
    <row r="4">
      <c r="A4" s="15" t="inlineStr">
        <is>
          <t>FA-04.2</t>
        </is>
      </c>
      <c r="B4" s="15" t="n"/>
      <c r="C4" s="15" t="inlineStr">
        <is>
          <t>延时光指示</t>
        </is>
      </c>
      <c r="D4" s="15" t="inlineStr">
        <is>
          <t>可选</t>
        </is>
      </c>
      <c r="E4" s="15" t="inlineStr">
        <is>
          <t>同 FA-04</t>
        </is>
      </c>
      <c r="F4" s="15" t="n"/>
    </row>
    <row r="5">
      <c r="A5" s="15" t="inlineStr">
        <is>
          <t>FA-04.3</t>
        </is>
      </c>
      <c r="B5" s="15" t="n"/>
      <c r="C5" s="15" t="inlineStr">
        <is>
          <t>倒计时显示</t>
        </is>
      </c>
      <c r="D5" s="15" t="inlineStr">
        <is>
          <t>可选</t>
        </is>
      </c>
      <c r="E5" s="15" t="inlineStr">
        <is>
          <t>同 FA-04</t>
        </is>
      </c>
      <c r="F5" s="15" t="n"/>
    </row>
    <row r="6">
      <c r="A6" s="15" t="inlineStr">
        <is>
          <t>FA-04.4</t>
        </is>
      </c>
      <c r="B6" s="15" t="n"/>
      <c r="C6" s="15" t="inlineStr">
        <is>
          <t>设置信息可查</t>
        </is>
      </c>
      <c r="D6" s="15" t="inlineStr">
        <is>
          <t>可选</t>
        </is>
      </c>
      <c r="E6" s="15" t="inlineStr">
        <is>
          <t>同 FA-04</t>
        </is>
      </c>
      <c r="F6" s="15" t="n"/>
    </row>
    <row r="7">
      <c r="A7" s="15" t="inlineStr">
        <is>
          <t>FA-11</t>
        </is>
      </c>
      <c r="B7" s="15" t="n"/>
      <c r="C7" s="15" t="n"/>
      <c r="D7" s="15" t="inlineStr">
        <is>
          <t>P1</t>
        </is>
      </c>
      <c r="E7" s="15" t="inlineStr">
        <is>
          <t>信息显示时间缺年份("01月02日 00:20:58"),不满足年月日时分秒</t>
        </is>
      </c>
      <c r="F7" s="15" t="n"/>
    </row>
    <row r="8">
      <c r="A8" s="15" t="inlineStr">
        <is>
          <t>ST-05</t>
        </is>
      </c>
      <c r="B8" s="15" t="n"/>
      <c r="C8" s="15" t="inlineStr">
        <is>
          <t>开机自检·故障优先显示</t>
        </is>
      </c>
      <c r="D8" s="15" t="inlineStr">
        <is>
          <t>P1</t>
        </is>
      </c>
      <c r="E8" s="15" t="inlineStr">
        <is>
          <t>现在卡到启动页面了</t>
        </is>
      </c>
      <c r="F8" s="15" t="n"/>
    </row>
    <row r="9">
      <c r="A9" s="15" t="inlineStr">
        <is>
          <t>DP-05</t>
        </is>
      </c>
      <c r="B9" s="15" t="inlineStr">
        <is>
          <t>查询 / 历史记录</t>
        </is>
      </c>
      <c r="C9" s="15" t="inlineStr">
        <is>
          <t>历史记录·全部查询按钮</t>
        </is>
      </c>
      <c r="D9" s="15" t="inlineStr">
        <is>
          <t>P1</t>
        </is>
      </c>
      <c r="E9" s="15" t="inlineStr">
        <is>
          <t>全部查询按钮点击无响应</t>
        </is>
      </c>
      <c r="F9" s="15" t="inlineStr">
        <is>
          <t>★ 全局导航缺陷</t>
        </is>
      </c>
    </row>
    <row r="10">
      <c r="A10" s="15" t="inlineStr">
        <is>
          <t>UI-01.3</t>
        </is>
      </c>
      <c r="B10" s="15" t="inlineStr">
        <is>
          <t>查询 / 历史记录</t>
        </is>
      </c>
      <c r="C10" s="15" t="inlineStr">
        <is>
          <t>菜单页信息项完整</t>
        </is>
      </c>
      <c r="D10" s="15" t="inlineStr">
        <is>
          <t>P1</t>
        </is>
      </c>
      <c r="E10" s="15" t="inlineStr">
        <is>
          <t>缺少其他</t>
        </is>
      </c>
      <c r="F10" s="15" t="n"/>
    </row>
    <row r="11">
      <c r="A11" s="15" t="inlineStr">
        <is>
          <t>UI-02</t>
        </is>
      </c>
      <c r="B11" s="15" t="inlineStr">
        <is>
          <t>查询 / 控制器信息</t>
        </is>
      </c>
      <c r="C11" s="15" t="inlineStr">
        <is>
          <t>控制器信息</t>
        </is>
      </c>
      <c r="D11" s="15" t="inlineStr">
        <is>
          <t>P1</t>
        </is>
      </c>
      <c r="E11" s="15" t="inlineStr">
        <is>
          <t>没有容量</t>
        </is>
      </c>
      <c r="F11" s="15" t="n"/>
    </row>
    <row r="12">
      <c r="A12" s="15" t="inlineStr">
        <is>
          <t>UI-04.3</t>
        </is>
      </c>
      <c r="B12" s="15" t="inlineStr">
        <is>
          <t>查询 / 单点查询</t>
        </is>
      </c>
      <c r="C12" s="15" t="inlineStr">
        <is>
          <t>单点查询·返回按钮</t>
        </is>
      </c>
      <c r="D12" s="15" t="inlineStr">
        <is>
          <t>P1</t>
        </is>
      </c>
      <c r="E12" s="15" t="inlineStr">
        <is>
          <t>显示的菜单按钮，点击到了菜单页</t>
        </is>
      </c>
      <c r="F12" s="15" t="inlineStr">
        <is>
          <t>★ 全局导航缺陷</t>
        </is>
      </c>
    </row>
    <row r="13">
      <c r="A13" s="15" t="inlineStr">
        <is>
          <t>UI-05.1</t>
        </is>
      </c>
      <c r="B13" s="15" t="inlineStr">
        <is>
          <t>查询 / 级联从机</t>
        </is>
      </c>
      <c r="C13" s="15" t="inlineStr">
        <is>
          <t>级联从机·无从机显示</t>
        </is>
      </c>
      <c r="D13" s="15" t="inlineStr">
        <is>
          <t>P1</t>
        </is>
      </c>
      <c r="E13" s="15" t="inlineStr">
        <is>
          <t>无从机的情况下，有显示对勾的</t>
        </is>
      </c>
      <c r="F13" s="15" t="n"/>
    </row>
    <row r="14">
      <c r="A14" s="15" t="inlineStr">
        <is>
          <t>UI-07.4</t>
        </is>
      </c>
      <c r="B14" s="15" t="inlineStr">
        <is>
          <t>监控&amp;控制 / 节点设备监控</t>
        </is>
      </c>
      <c r="C14" s="15" t="inlineStr">
        <is>
          <t>节点监控·返回按钮</t>
        </is>
      </c>
      <c r="D14" s="15" t="inlineStr">
        <is>
          <t>P1</t>
        </is>
      </c>
      <c r="E14" s="15" t="inlineStr">
        <is>
          <t>显示的是菜单按钮，点击跳到菜单页（与 UI-26/27、UI-03.4/.6、UI-04.3、UI-05.2、UI-18.3、UI-01.4 同源）</t>
        </is>
      </c>
      <c r="F14" s="15" t="inlineStr">
        <is>
          <t>★ 全局导航缺陷</t>
        </is>
      </c>
    </row>
    <row r="15">
      <c r="A15" s="15" t="inlineStr">
        <is>
          <t>UI-08.4</t>
        </is>
      </c>
      <c r="B15" s="15" t="inlineStr">
        <is>
          <t>监控&amp;控制 / 通讯成功率</t>
        </is>
      </c>
      <c r="C15" s="15" t="inlineStr">
        <is>
          <t>通讯成功率·返回按钮</t>
        </is>
      </c>
      <c r="D15" s="15" t="inlineStr">
        <is>
          <t>P1</t>
        </is>
      </c>
      <c r="E15" s="15" t="inlineStr">
        <is>
          <t>显示的是菜单按钮，点击跳到菜单页（全局导航缺陷，同源第 11 处）</t>
        </is>
      </c>
      <c r="F15" s="15" t="inlineStr">
        <is>
          <t>★ 全局导航缺陷</t>
        </is>
      </c>
    </row>
    <row r="16">
      <c r="A16" s="15" t="inlineStr">
        <is>
          <t>UI-10.4</t>
        </is>
      </c>
      <c r="B16" s="15" t="inlineStr">
        <is>
          <t>监控&amp;控制 / 启停控制</t>
        </is>
      </c>
      <c r="C16" s="15" t="inlineStr">
        <is>
          <t>启停·返回按钮响应</t>
        </is>
      </c>
      <c r="D16" s="15" t="inlineStr">
        <is>
          <t>P1</t>
        </is>
      </c>
      <c r="E16" s="15" t="inlineStr">
        <is>
          <t>⚠️与其他页不同：本页返回按钮显示正确，但点击无响应。属全局导航缺陷的第二亚型（显示对/不响应），另一亚型为显示成菜单按钮</t>
        </is>
      </c>
      <c r="F16" s="15" t="inlineStr">
        <is>
          <t>★ 全局导航缺陷</t>
        </is>
      </c>
    </row>
    <row r="17">
      <c r="A17" s="15" t="inlineStr">
        <is>
          <t>UI-11.1</t>
        </is>
      </c>
      <c r="B17" s="15" t="inlineStr">
        <is>
          <t>监控&amp;控制 / 屏蔽控制</t>
        </is>
      </c>
      <c r="C17" s="15" t="inlineStr">
        <is>
          <t>屏蔽·空地址输入校验</t>
        </is>
      </c>
      <c r="D17" s="15" t="inlineStr">
        <is>
          <t>P1</t>
        </is>
      </c>
      <c r="E17" s="15" t="inlineStr">
        <is>
          <t>❌ 空输入可点击且生效：物理屏蔽灯点亮并发声。控制器进入"虚假屏蔽态"（无任何设备被屏蔽却亮屏蔽灯），与 SH-01.4「屏蔽总灯亮并显示屏蔽时间」语义冲突；须复核 CK-08 屏蔽数量列此时显示值</t>
        </is>
      </c>
      <c r="F17" s="15" t="n"/>
    </row>
    <row r="18">
      <c r="A18" s="15" t="inlineStr">
        <is>
          <t>UI-11.4</t>
        </is>
      </c>
      <c r="B18" s="15" t="inlineStr">
        <is>
          <t>监控&amp;控制 / 屏蔽控制</t>
        </is>
      </c>
      <c r="C18" s="15" t="inlineStr">
        <is>
          <t>解除屏蔽·声信号未随状态停止</t>
        </is>
      </c>
      <c r="D18" s="15" t="inlineStr">
        <is>
          <t>P1</t>
        </is>
      </c>
      <c r="E18" s="15" t="inlineStr">
        <is>
          <t>❌ 解除屏蔽后物理屏蔽灯已关闭，但声音未停；必须手动按消音键声音才消失 → 声信号与状态解耦</t>
        </is>
      </c>
      <c r="F18" s="15" t="n"/>
    </row>
    <row r="19">
      <c r="A19" s="15" t="inlineStr">
        <is>
          <t>UI-11.5</t>
        </is>
      </c>
      <c r="B19" s="15" t="inlineStr">
        <is>
          <t>监控&amp;控制 / 屏蔽控制</t>
        </is>
      </c>
      <c r="C19" s="15" t="inlineStr">
        <is>
          <t>消音灯常亮·不自动复位</t>
        </is>
      </c>
      <c r="D19" s="15" t="inlineStr">
        <is>
          <t>P0</t>
        </is>
      </c>
      <c r="E19" s="15" t="inlineStr">
        <is>
          <t>❌ 物理消音灯一直亮着不复位。⚠️安全风险：若消音态未退出，下一次真火警时(a)值班员会误判"已消过音"(b)火警声可能被压制。须立即验证：当前消音灯亮态下触发新火警(加烟/按手报)，看消音灯是否熄灭、火警声是否响起(FA-06.4 / LC-11.4)。注：FT-04.1「新故障声再启动」已测通过，但火警侧未验</t>
        </is>
      </c>
      <c r="F19" s="15" t="n"/>
    </row>
    <row r="20">
      <c r="A20" s="15" t="inlineStr">
        <is>
          <t>UI-11.6</t>
        </is>
      </c>
      <c r="B20" s="15" t="inlineStr">
        <is>
          <t>监控&amp;控制 / 屏蔽控制</t>
        </is>
      </c>
      <c r="C20" s="15" t="inlineStr">
        <is>
          <t>屏蔽页·返回按钮响应</t>
        </is>
      </c>
      <c r="D20" s="15" t="inlineStr">
        <is>
          <t>P1</t>
        </is>
      </c>
      <c r="E20" s="15" t="inlineStr">
        <is>
          <t>❌ 返回按钮无响应（全局导航缺陷·亚型B：显示对/不响应）</t>
        </is>
      </c>
      <c r="F20" s="15" t="inlineStr">
        <is>
          <t>★ 全局导航缺陷</t>
        </is>
      </c>
    </row>
    <row r="21">
      <c r="A21" s="15" t="inlineStr">
        <is>
          <t>UI-13.4</t>
        </is>
      </c>
      <c r="B21" s="15" t="inlineStr">
        <is>
          <t>设置 / 密码设置</t>
        </is>
      </c>
      <c r="C21" s="15" t="inlineStr">
        <is>
          <t>密码设置·返回按钮</t>
        </is>
      </c>
      <c r="D21" s="15" t="inlineStr">
        <is>
          <t>P1</t>
        </is>
      </c>
      <c r="E21" s="15" t="inlineStr">
        <is>
          <t>❌ 返回按钮不正确（全局导航缺陷）</t>
        </is>
      </c>
      <c r="F21" s="15" t="inlineStr">
        <is>
          <t>★ 全局导航缺陷</t>
        </is>
      </c>
    </row>
    <row r="22">
      <c r="A22" s="15" t="inlineStr">
        <is>
          <t>UI-14.5</t>
        </is>
      </c>
      <c r="B22" s="15" t="inlineStr">
        <is>
          <t>设置 / 基础设置</t>
        </is>
      </c>
      <c r="C22" s="15" t="inlineStr">
        <is>
          <t>基础设置·返回按钮</t>
        </is>
      </c>
      <c r="D22" s="15" t="inlineStr">
        <is>
          <t>P1</t>
        </is>
      </c>
      <c r="E22" s="15" t="inlineStr">
        <is>
          <t>❌ 返回按钮不正确（全局导航缺陷）</t>
        </is>
      </c>
      <c r="F22" s="15" t="inlineStr">
        <is>
          <t>★ 全局导航缺陷</t>
        </is>
      </c>
    </row>
    <row r="23">
      <c r="A23" s="15" t="inlineStr">
        <is>
          <t>UI-14.6</t>
        </is>
      </c>
      <c r="B23" s="15" t="inlineStr">
        <is>
          <t>设置 / 基础设置</t>
        </is>
      </c>
      <c r="C23" s="15" t="inlineStr">
        <is>
          <t>⚠️系统时钟停在00年</t>
        </is>
      </c>
      <c r="D23" s="15" t="inlineStr">
        <is>
          <t>P0</t>
        </is>
      </c>
      <c r="E23" s="15" t="inlineStr">
        <is>
          <t>❌ 当前值 = 00年01月02日 05:36:11 → 年份为00，系上电累计计时而非真实时间。⚠️根因关联：已判不通过的 FA-11「信息显示时间缺年份」与 UI-28 很可能不是显示层丢字段，而是时钟本身无效。影响面：全部黑匣子事件时间戳、SH-01.4屏蔽时间、CM-03授时。建议动作：在本页设为真实时间→确定→复查 UI-14.1(生效)/UI-14.3(日误差≤6s)/FA-11/UI-28，一次可收4条</t>
        </is>
      </c>
      <c r="F23" s="15" t="n"/>
    </row>
    <row r="24">
      <c r="A24" s="15" t="inlineStr">
        <is>
          <t>UI-14.7</t>
        </is>
      </c>
      <c r="B24" s="15" t="inlineStr">
        <is>
          <t>设置 / 基础设置</t>
        </is>
      </c>
      <c r="C24" s="15" t="inlineStr">
        <is>
          <t>⚠️声音使能可关闭强制声信号</t>
        </is>
      </c>
      <c r="D24" s="15" t="inlineStr">
        <is>
          <t>P0</t>
        </is>
      </c>
      <c r="E24" s="15" t="inlineStr">
        <is>
          <t>❌ 界面提供分项开关且当前状态为：报警✓开 / 监管☐关 / 启动☐关 / 反馈☐关。⚠️「监管」声被关闭直接抵触 SV-01.1。待判别：该开关若控制的是标准强制的报警声→设计违标；若仅控制按键提示音→改判不适用。判别方法：保持当前状态触发一次监管报警，无声则违标成立。注意 SV 组8条用例全部以"监管声能响"为前提，此项不定论则 SV 组无法测</t>
        </is>
      </c>
      <c r="F24" s="15" t="n"/>
    </row>
    <row r="25">
      <c r="A25" s="15" t="inlineStr">
        <is>
          <t>UI-16</t>
        </is>
      </c>
      <c r="B25" s="15" t="inlineStr">
        <is>
          <t>设置 / 节点设置</t>
        </is>
      </c>
      <c r="C25" s="15" t="n"/>
      <c r="D25" s="15" t="inlineStr">
        <is>
          <t>P1</t>
        </is>
      </c>
      <c r="E25" s="15" t="inlineStr">
        <is>
          <t>节点设置：菜单入口存在，点击无响应（功能未开发）</t>
        </is>
      </c>
      <c r="F25" s="15" t="inlineStr">
        <is>
          <t>★ 全局导航缺陷</t>
        </is>
      </c>
    </row>
    <row r="26">
      <c r="A26" s="15" t="inlineStr">
        <is>
          <t>UI-17.1</t>
        </is>
      </c>
      <c r="B26" s="15" t="inlineStr">
        <is>
          <t>设置 / 操作模式设置</t>
        </is>
      </c>
      <c r="C26" s="15" t="inlineStr">
        <is>
          <t>操作模式·返回按钮</t>
        </is>
      </c>
      <c r="D26" s="15" t="inlineStr">
        <is>
          <t>P1</t>
        </is>
      </c>
      <c r="E26" s="15" t="inlineStr">
        <is>
          <t>❌ 显示的是菜单按钮，点击跳到菜单页（全局导航缺陷·亚型A）</t>
        </is>
      </c>
      <c r="F26" s="15" t="inlineStr">
        <is>
          <t>★ 全局导航缺陷</t>
        </is>
      </c>
    </row>
    <row r="27">
      <c r="A27" s="15" t="inlineStr">
        <is>
          <t>UI-17.3</t>
        </is>
      </c>
      <c r="B27" s="15" t="inlineStr">
        <is>
          <t>设置 / 操作模式设置</t>
        </is>
      </c>
      <c r="C27" s="15" t="inlineStr">
        <is>
          <t>⚠️免打扰模式·状态可区分与值班提示</t>
        </is>
      </c>
      <c r="D27" s="15" t="inlineStr">
        <is>
          <t>P0</t>
        </is>
      </c>
      <c r="E27" s="15" t="inlineStr">
        <is>
          <t>❌ 测试人现场提出：该模式为开发人员使用，但缺少对值班人员的明显提示，存在影响正常功能而不自知的风险。对照 OP-05.3，此非"建议"而是标准要求：需验证 ①主界面是否有常驻区别标识（非仅本设置页内）②顶栏状态是否变化 ③上传/打印信息是否带区别标识 ④是否有超时自动退回正常运行</t>
        </is>
      </c>
      <c r="F27" s="15" t="n"/>
    </row>
    <row r="28">
      <c r="A28" s="15" t="inlineStr">
        <is>
          <t>UI-18.3</t>
        </is>
      </c>
      <c r="B28" s="15" t="inlineStr">
        <is>
          <t>调试 / 点位注册</t>
        </is>
      </c>
      <c r="C28" s="15" t="inlineStr">
        <is>
          <t>设备注册·返回按钮</t>
        </is>
      </c>
      <c r="D28" s="15" t="inlineStr">
        <is>
          <t>P1</t>
        </is>
      </c>
      <c r="E28" s="15" t="inlineStr">
        <is>
          <t>左上角返回按钮点击无响应</t>
        </is>
      </c>
      <c r="F28" s="15" t="inlineStr">
        <is>
          <t>★ 全局导航缺陷</t>
        </is>
      </c>
    </row>
    <row r="29">
      <c r="A29" s="15" t="inlineStr">
        <is>
          <t>UI-19</t>
        </is>
      </c>
      <c r="B29" s="15" t="inlineStr">
        <is>
          <t>调试 / 配置导入</t>
        </is>
      </c>
      <c r="C29" s="15" t="n"/>
      <c r="D29" s="15" t="inlineStr">
        <is>
          <t>P1</t>
        </is>
      </c>
      <c r="E29" s="15" t="inlineStr">
        <is>
          <t>功能未实现（菜单入口存在，功能未开发）</t>
        </is>
      </c>
      <c r="F29" s="15" t="n"/>
    </row>
    <row r="30">
      <c r="A30" s="15" t="inlineStr">
        <is>
          <t>UI-20</t>
        </is>
      </c>
      <c r="B30" s="15" t="inlineStr">
        <is>
          <t>调试 / 联动编程</t>
        </is>
      </c>
      <c r="C30" s="15" t="n"/>
      <c r="D30" s="15" t="inlineStr">
        <is>
          <t>P1</t>
        </is>
      </c>
      <c r="E30" s="15" t="inlineStr">
        <is>
          <t>功能未实现（菜单入口存在，功能未开发）</t>
        </is>
      </c>
      <c r="F30" s="15" t="n"/>
    </row>
    <row r="31">
      <c r="A31" s="15" t="inlineStr">
        <is>
          <t>UI-26</t>
        </is>
      </c>
      <c r="B31" s="15" t="n"/>
      <c r="C31" s="15" t="inlineStr">
        <is>
          <t>检查页右上角返回按钮</t>
        </is>
      </c>
      <c r="D31" s="15" t="inlineStr">
        <is>
          <t>P1</t>
        </is>
      </c>
      <c r="E31" s="15" t="inlineStr">
        <is>
          <t>右上角为菜单按钮,点击进入信息显示页,非返回主页</t>
        </is>
      </c>
      <c r="F31" s="15" t="inlineStr">
        <is>
          <t>★ 全局导航缺陷</t>
        </is>
      </c>
    </row>
    <row r="32">
      <c r="A32" s="15" t="inlineStr">
        <is>
          <t>UI-27</t>
        </is>
      </c>
      <c r="B32" s="15" t="n"/>
      <c r="C32" s="15" t="inlineStr">
        <is>
          <t>信息显示页右上角返回按钮</t>
        </is>
      </c>
      <c r="D32" s="15" t="inlineStr">
        <is>
          <t>P1</t>
        </is>
      </c>
      <c r="E32" s="15" t="inlineStr">
        <is>
          <t>右上角同样非返回</t>
        </is>
      </c>
      <c r="F32" s="15" t="n"/>
    </row>
    <row r="33">
      <c r="A33" s="15" t="inlineStr">
        <is>
          <t>UI-28</t>
        </is>
      </c>
      <c r="B33" s="15" t="n"/>
      <c r="C33" s="15" t="inlineStr">
        <is>
          <t>信息显示时间格式</t>
        </is>
      </c>
      <c r="D33" s="15" t="inlineStr">
        <is>
          <t>P1</t>
        </is>
      </c>
      <c r="E33" s="15" t="inlineStr">
        <is>
          <t>时间显示"01月02日 00:20:58"缺年份</t>
        </is>
      </c>
      <c r="F33" s="15" t="n"/>
    </row>
    <row r="34">
      <c r="A34" s="15" t="inlineStr">
        <is>
          <t>UI-01.4</t>
        </is>
      </c>
      <c r="B34" s="15" t="inlineStr">
        <is>
          <t>查询 / 历史记录</t>
        </is>
      </c>
      <c r="C34" s="15" t="inlineStr">
        <is>
          <t>菜单页·详情返回</t>
        </is>
      </c>
      <c r="D34" s="15" t="inlineStr">
        <is>
          <t>P1</t>
        </is>
      </c>
      <c r="E34" s="15" t="inlineStr">
        <is>
          <t>无法返回到菜单页</t>
        </is>
      </c>
      <c r="F34" s="15" t="inlineStr">
        <is>
          <t>★ 全局导航缺陷</t>
        </is>
      </c>
    </row>
    <row r="35">
      <c r="A35" s="15" t="inlineStr">
        <is>
          <t>DP-11</t>
        </is>
      </c>
      <c r="B35" s="15" t="inlineStr">
        <is>
          <t>查询 / 历史记录</t>
        </is>
      </c>
      <c r="C35" s="15" t="inlineStr">
        <is>
          <t>历史记录·详情返回按钮</t>
        </is>
      </c>
      <c r="D35" s="15" t="inlineStr">
        <is>
          <t>P1</t>
        </is>
      </c>
      <c r="E35" s="15" t="inlineStr">
        <is>
          <t>应该显示返回按钮，显示了菜单按钮。点击按钮无响应</t>
        </is>
      </c>
      <c r="F35" s="15" t="inlineStr">
        <is>
          <t>★ 全局导航缺陷</t>
        </is>
      </c>
    </row>
    <row r="36">
      <c r="A36" s="15" t="inlineStr">
        <is>
          <t>DP-13</t>
        </is>
      </c>
      <c r="B36" s="15" t="inlineStr">
        <is>
          <t>查询 / 历史记录</t>
        </is>
      </c>
      <c r="C36" s="15" t="inlineStr">
        <is>
          <t>历史记录·按回路查询</t>
        </is>
      </c>
      <c r="D36" s="15" t="inlineStr">
        <is>
          <t>P1</t>
        </is>
      </c>
      <c r="E36" s="15" t="inlineStr">
        <is>
          <t>回路1有故障，查询回路1地址1，应该有数据，查询列表也无数据，查询回路1，地址2，却有数据</t>
        </is>
      </c>
      <c r="F36" s="15" t="n"/>
    </row>
    <row r="37">
      <c r="A37" s="15" t="inlineStr">
        <is>
          <t>UI-18.5</t>
        </is>
      </c>
      <c r="B37" s="15" t="inlineStr">
        <is>
          <t>调试 / 点位注册</t>
        </is>
      </c>
      <c r="C37" s="15" t="inlineStr">
        <is>
          <t>点位注册·右上角返回按钮</t>
        </is>
      </c>
      <c r="D37" s="15" t="inlineStr">
        <is>
          <t>P1</t>
        </is>
      </c>
      <c r="E37" s="15" t="inlineStr">
        <is>
          <t>❌ 显示的是菜单按钮，点击跳到菜单列表页（全局导航缺陷·亚型A：显示错）。注：本页左上角返回按钮另有"点击无响应"问题(UI-18.3，亚型B)，两个按钮各自有问题</t>
        </is>
      </c>
      <c r="F37" s="15" t="inlineStr">
        <is>
          <t>★ 全局导航缺陷</t>
        </is>
      </c>
    </row>
    <row r="38">
      <c r="A38" s="15" t="inlineStr">
        <is>
          <t>UI-03.4</t>
        </is>
      </c>
      <c r="B38" s="15" t="inlineStr">
        <is>
          <t>查询 / 设备总览</t>
        </is>
      </c>
      <c r="C38" s="15" t="inlineStr">
        <is>
          <t>设备总览·列表返回按钮</t>
        </is>
      </c>
      <c r="D38" s="15" t="inlineStr">
        <is>
          <t>P1</t>
        </is>
      </c>
      <c r="E38" s="15" t="inlineStr">
        <is>
          <t>点击无响应</t>
        </is>
      </c>
      <c r="F38" s="15" t="inlineStr">
        <is>
          <t>★ 全局导航缺陷</t>
        </is>
      </c>
    </row>
    <row r="39">
      <c r="A39" s="15" t="inlineStr">
        <is>
          <t>UI-03.6</t>
        </is>
      </c>
      <c r="B39" s="15" t="inlineStr">
        <is>
          <t>查询 / 设备总览</t>
        </is>
      </c>
      <c r="C39" s="15" t="inlineStr">
        <is>
          <t>设备总览·详情返回按钮</t>
        </is>
      </c>
      <c r="D39" s="15" t="inlineStr">
        <is>
          <t>P1</t>
        </is>
      </c>
      <c r="E39" s="15" t="inlineStr">
        <is>
          <t>显示的菜单按钮，点击无响应</t>
        </is>
      </c>
      <c r="F39" s="15" t="inlineStr">
        <is>
          <t>★ 全局导航缺陷</t>
        </is>
      </c>
    </row>
    <row r="40">
      <c r="A40" s="15" t="inlineStr">
        <is>
          <t>UI-05.2</t>
        </is>
      </c>
      <c r="B40" s="15" t="inlineStr">
        <is>
          <t>查询 / 级联从机</t>
        </is>
      </c>
      <c r="C40" s="15" t="inlineStr">
        <is>
          <t>级联从机·返回按钮</t>
        </is>
      </c>
      <c r="D40" s="15" t="inlineStr">
        <is>
          <t>P1</t>
        </is>
      </c>
      <c r="E40" s="15" t="inlineStr">
        <is>
          <t>显示的菜单按钮，点击到了菜单页</t>
        </is>
      </c>
      <c r="F40" s="15" t="inlineStr">
        <is>
          <t>★ 全局导航缺陷</t>
        </is>
      </c>
    </row>
    <row r="41">
      <c r="A41" s="15" t="inlineStr">
        <is>
          <t>FT-04.5</t>
        </is>
      </c>
      <c r="B41" s="15" t="inlineStr">
        <is>
          <t>面板/消音</t>
        </is>
      </c>
      <c r="C41" s="15" t="inlineStr">
        <is>
          <t>消音灯·新故障不熄灭</t>
        </is>
      </c>
      <c r="D41" s="15" t="inlineStr">
        <is>
          <t>P0</t>
        </is>
      </c>
      <c r="E41" s="15" t="inlineStr">
        <is>
          <t>新故障输入后消音灯仍亮（声再启动正常）</t>
        </is>
      </c>
      <c r="F41" s="15" t="inlineStr">
        <is>
          <t>UI-11.5 消音灯常亮·不自动复位</t>
        </is>
      </c>
    </row>
    <row r="42">
      <c r="A42" s="15" t="inlineStr">
        <is>
          <t>GE-22</t>
        </is>
      </c>
      <c r="B42" s="15" t="inlineStr">
        <is>
          <t>气灭/现场警示</t>
        </is>
      </c>
      <c r="C42" s="15" t="inlineStr">
        <is>
          <t>强启后放气勿入指示牌未亮</t>
        </is>
      </c>
      <c r="D42" s="15" t="inlineStr">
        <is>
          <t>P0</t>
        </is>
      </c>
      <c r="E42" s="15" t="inlineStr">
        <is>
          <t>启动/反馈信号有效时指示牌未点亮</t>
        </is>
      </c>
      <c r="F42" s="15" t="inlineStr">
        <is>
          <t>喷洒光警报器输出链路</t>
        </is>
      </c>
    </row>
    <row r="43">
      <c r="A43" t="inlineStr">
        <is>
          <t>SH-01</t>
        </is>
      </c>
      <c r="B43" t="inlineStr">
        <is>
          <t>监控&amp;控制 / 屏蔽控制</t>
        </is>
      </c>
      <c r="C43" t="inlineStr">
        <is>
          <t>手动屏蔽与解除</t>
        </is>
      </c>
      <c r="D43" t="inlineStr">
        <is>
          <t>P1</t>
        </is>
      </c>
      <c r="E43" t="inlineStr">
        <is>
          <t>功能可用但提示语用红色：屏蔽时提示红色【设备处于屏蔽状态】、解除时提示红色【设备处于未屏蔽状态】。红色是 GB 4717 5.3.2.1 的火警/启动色，用于常态确认信息会稀释报警色语义（同现象见 SH-05.2 备注）</t>
        </is>
      </c>
      <c r="F43" t="inlineStr">
        <is>
          <t>提示语配色规范</t>
        </is>
      </c>
    </row>
    <row r="44">
      <c r="A44" t="inlineStr">
        <is>
          <t>CK-04</t>
        </is>
      </c>
      <c r="B44" t="inlineStr">
        <is>
          <t>查询 / 检查信息</t>
        </is>
      </c>
      <c r="C44" t="inlineStr">
        <is>
          <t>检查页·设备类型分行</t>
        </is>
      </c>
      <c r="D44" t="inlineStr">
        <is>
          <t>P1</t>
        </is>
      </c>
      <c r="E44" t="inlineStr">
        <is>
          <t>有屏蔽设备时「其他」类型显示一个超大数字。形态是典型的无符号下溢——「其他」多半按『总数 − 各已知类型之和』算，屏蔽点被从某个分项里扣掉却没从总数扣，差值变负后按 unsigned 打印。与 CK-08 同属检查页的屏蔽计数链路</t>
        </is>
      </c>
      <c r="F44" t="inlineStr">
        <is>
          <t>★ 检查页屏蔽计数</t>
        </is>
      </c>
    </row>
    <row r="45">
      <c r="A45" t="inlineStr">
        <is>
          <t>CK-08</t>
        </is>
      </c>
      <c r="B45" t="inlineStr">
        <is>
          <t>查询 / 检查信息</t>
        </is>
      </c>
      <c r="C45" t="inlineStr">
        <is>
          <t>检查页·屏蔽数量列</t>
        </is>
      </c>
      <c r="D45" t="inlineStr">
        <is>
          <t>P1</t>
        </is>
      </c>
      <c r="E45" t="inlineStr">
        <is>
          <t>有屏蔽设备时每一行的屏蔽数据全是 0（原记录为该列空白）。屏蔽数没有汇进分类型行，与 CK-04 的超大数字互为表里：一边少算一边多算，指向同一处计数</t>
        </is>
      </c>
      <c r="F45" t="inlineStr">
        <is>
          <t>★ 检查页屏蔽计数</t>
        </is>
      </c>
    </row>
    <row r="46">
      <c r="A46" t="inlineStr">
        <is>
          <t>OP-01.2</t>
        </is>
      </c>
      <c r="B46" t="inlineStr">
        <is>
          <t>设置 / 操作模式设置</t>
        </is>
      </c>
      <c r="C46" t="inlineStr">
        <is>
          <t>Ⅰ 级拒绝项·手自动切换未受保护</t>
        </is>
      </c>
      <c r="D46" t="inlineStr">
        <is>
          <t>P1</t>
        </is>
      </c>
      <c r="E46" t="inlineStr">
        <is>
          <t>❌ 一级操作员（无需密码）可以操作手自动切换。⚠️ 这不只是操作级别越权：5.4.2.2 给手/自动转换规定的是自复位钥匙开关，即一道物理准入；软件侧放开到 Ⅰ 级等于绕过它。后果是任何能靠近机柜的人都能把系统切到手动、使自动联动失效而面板无异常。建议按 P0 重估，并同步复核 UI-17.2 操作模式页的准入等级</t>
        </is>
      </c>
    </row>
    <row r="47">
      <c r="A47" t="inlineStr">
        <is>
          <t>UI-07</t>
        </is>
      </c>
      <c r="B47" t="inlineStr">
        <is>
          <t>监控&amp;控制 / 节点设备监控</t>
        </is>
      </c>
      <c r="C47" t="inlineStr">
        <is>
          <t>节点设备监控·查询无响应</t>
        </is>
      </c>
      <c r="D47" t="inlineStr">
        <is>
          <t>P1</t>
        </is>
      </c>
      <c r="E47" t="inlineStr">
        <is>
          <t>节点监控页查询无响应（本页另有 UI-07.4 返回按钮缺陷，属全局导航缺陷）</t>
        </is>
      </c>
    </row>
    <row r="48">
      <c r="A48" t="inlineStr">
        <is>
          <t>GE-02</t>
        </is>
      </c>
      <c r="B48" t="inlineStr">
        <is>
          <t>气灭 / 启动流程</t>
        </is>
      </c>
      <c r="C48" t="inlineStr">
        <is>
          <t>②⑤ 喷洒声警报缺失</t>
        </is>
      </c>
      <c r="D48" t="inlineStr">
        <is>
          <t>P0</t>
        </is>
      </c>
      <c r="E48" t="inlineStr">
        <is>
          <t>❌ 启动倒计时开始时声光报警器无声，倒计时结束后仍无声，应有喷洒声。⚠️ 台账自相矛盾：本总案判不通过，但子项 GE-02.4「② 声光警报器」与 GE-02.10「⑤ 喷洒声光」都判了通过——两者须复测，很可能当初只验了光没验声。与 GE-22（强启后放气勿入指示牌未亮）合看，形态是『光通声不通 / 现场警示件驱动缺失』，指向喷洒警报输出链路而非单个器件</t>
        </is>
      </c>
      <c r="F48" t="inlineStr">
        <is>
          <t>GE-22 放气勿入指示牌未亮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6" t="inlineStr">
        <is>
          <t>分组</t>
        </is>
      </c>
      <c r="B1" s="16" t="inlineStr">
        <is>
          <t>用例数</t>
        </is>
      </c>
      <c r="C1" s="16" t="inlineStr">
        <is>
          <t>通过</t>
        </is>
      </c>
      <c r="D1" s="16" t="inlineStr">
        <is>
          <t>不通过</t>
        </is>
      </c>
      <c r="E1" s="16" t="inlineStr">
        <is>
          <t>不适用</t>
        </is>
      </c>
      <c r="F1" s="16" t="inlineStr">
        <is>
          <t>待测/暂不</t>
        </is>
      </c>
      <c r="G1" s="16" t="inlineStr">
        <is>
          <t>未填</t>
        </is>
      </c>
    </row>
    <row r="2">
      <c r="A2" t="inlineStr">
        <is>
          <t>火灾报警</t>
        </is>
      </c>
      <c r="B2">
        <f>COUNTIF(测试执行表!C2:C593,A2)</f>
        <v/>
      </c>
      <c r="C2">
        <f>COUNTIFS(测试执行表!C2:C593,A2,测试执行表!J2:J593,"通过")</f>
        <v/>
      </c>
      <c r="D2">
        <f>COUNTIFS(测试执行表!C2:C593,A2,测试执行表!J2:J593,"不通过")</f>
        <v/>
      </c>
      <c r="E2">
        <f>COUNTIFS(测试执行表!C2:C593,A2,测试执行表!J2:J593,"不适用")</f>
        <v/>
      </c>
      <c r="F2">
        <f>COUNTIFS(测试执行表!C2:C593,A2,测试执行表!J2:J593,"待测")+COUNTIFS(测试执行表!C2:C593,A2,测试执行表!J2:J593,"暂不测试")</f>
        <v/>
      </c>
      <c r="G2">
        <f>B2-C2-D2-E2-F2</f>
        <v/>
      </c>
    </row>
    <row r="3">
      <c r="A3" t="inlineStr">
        <is>
          <t>报警控制(联动输出)</t>
        </is>
      </c>
      <c r="B3">
        <f>COUNTIF(测试执行表!C2:C593,A3)</f>
        <v/>
      </c>
      <c r="C3">
        <f>COUNTIFS(测试执行表!C2:C593,A3,测试执行表!J2:J593,"通过")</f>
        <v/>
      </c>
      <c r="D3">
        <f>COUNTIFS(测试执行表!C2:C593,A3,测试执行表!J2:J593,"不通过")</f>
        <v/>
      </c>
      <c r="E3">
        <f>COUNTIFS(测试执行表!C2:C593,A3,测试执行表!J2:J593,"不适用")</f>
        <v/>
      </c>
      <c r="F3">
        <f>COUNTIFS(测试执行表!C2:C593,A3,测试执行表!J2:J593,"待测")+COUNTIFS(测试执行表!C2:C593,A3,测试执行表!J2:J593,"暂不测试")</f>
        <v/>
      </c>
      <c r="G3">
        <f>B3-C3-D3-E3-F3</f>
        <v/>
      </c>
    </row>
    <row r="4">
      <c r="A4" t="inlineStr">
        <is>
          <t>故障报警</t>
        </is>
      </c>
      <c r="B4">
        <f>COUNTIF(测试执行表!C2:C593,A4)</f>
        <v/>
      </c>
      <c r="C4">
        <f>COUNTIFS(测试执行表!C2:C593,A4,测试执行表!J2:J593,"通过")</f>
        <v/>
      </c>
      <c r="D4">
        <f>COUNTIFS(测试执行表!C2:C593,A4,测试执行表!J2:J593,"不通过")</f>
        <v/>
      </c>
      <c r="E4">
        <f>COUNTIFS(测试执行表!C2:C593,A4,测试执行表!J2:J593,"不适用")</f>
        <v/>
      </c>
      <c r="F4">
        <f>COUNTIFS(测试执行表!C2:C593,A4,测试执行表!J2:J593,"待测")+COUNTIFS(测试执行表!C2:C593,A4,测试执行表!J2:J593,"暂不测试")</f>
        <v/>
      </c>
      <c r="G4">
        <f>B4-C4-D4-E4-F4</f>
        <v/>
      </c>
    </row>
    <row r="5">
      <c r="A5" t="inlineStr">
        <is>
          <t>屏蔽</t>
        </is>
      </c>
      <c r="B5">
        <f>COUNTIF(测试执行表!C2:C593,A5)</f>
        <v/>
      </c>
      <c r="C5">
        <f>COUNTIFS(测试执行表!C2:C593,A5,测试执行表!J2:J593,"通过")</f>
        <v/>
      </c>
      <c r="D5">
        <f>COUNTIFS(测试执行表!C2:C593,A5,测试执行表!J2:J593,"不通过")</f>
        <v/>
      </c>
      <c r="E5">
        <f>COUNTIFS(测试执行表!C2:C593,A5,测试执行表!J2:J593,"不适用")</f>
        <v/>
      </c>
      <c r="F5">
        <f>COUNTIFS(测试执行表!C2:C593,A5,测试执行表!J2:J593,"待测")+COUNTIFS(测试执行表!C2:C593,A5,测试执行表!J2:J593,"暂不测试")</f>
        <v/>
      </c>
      <c r="G5">
        <f>B5-C5-D5-E5-F5</f>
        <v/>
      </c>
    </row>
    <row r="6">
      <c r="A6" t="inlineStr">
        <is>
          <t>监管报警</t>
        </is>
      </c>
      <c r="B6">
        <f>COUNTIF(测试执行表!C2:C593,A6)</f>
        <v/>
      </c>
      <c r="C6">
        <f>COUNTIFS(测试执行表!C2:C593,A6,测试执行表!J2:J593,"通过")</f>
        <v/>
      </c>
      <c r="D6">
        <f>COUNTIFS(测试执行表!C2:C593,A6,测试执行表!J2:J593,"不通过")</f>
        <v/>
      </c>
      <c r="E6">
        <f>COUNTIFS(测试执行表!C2:C593,A6,测试执行表!J2:J593,"不适用")</f>
        <v/>
      </c>
      <c r="F6">
        <f>COUNTIFS(测试执行表!C2:C593,A6,测试执行表!J2:J593,"待测")+COUNTIFS(测试执行表!C2:C593,A6,测试执行表!J2:J593,"暂不测试")</f>
        <v/>
      </c>
      <c r="G6">
        <f>B6-C6-D6-E6-F6</f>
        <v/>
      </c>
    </row>
    <row r="7">
      <c r="A7" t="inlineStr">
        <is>
          <t>自检</t>
        </is>
      </c>
      <c r="B7">
        <f>COUNTIF(测试执行表!C2:C593,A7)</f>
        <v/>
      </c>
      <c r="C7">
        <f>COUNTIFS(测试执行表!C2:C593,A7,测试执行表!J2:J593,"通过")</f>
        <v/>
      </c>
      <c r="D7">
        <f>COUNTIFS(测试执行表!C2:C593,A7,测试执行表!J2:J593,"不通过")</f>
        <v/>
      </c>
      <c r="E7">
        <f>COUNTIFS(测试执行表!C2:C593,A7,测试执行表!J2:J593,"不适用")</f>
        <v/>
      </c>
      <c r="F7">
        <f>COUNTIFS(测试执行表!C2:C593,A7,测试执行表!J2:J593,"待测")+COUNTIFS(测试执行表!C2:C593,A7,测试执行表!J2:J593,"暂不测试")</f>
        <v/>
      </c>
      <c r="G7">
        <f>B7-C7-D7-E7-F7</f>
        <v/>
      </c>
    </row>
    <row r="8">
      <c r="A8" t="inlineStr">
        <is>
          <t>显示与查询</t>
        </is>
      </c>
      <c r="B8">
        <f>COUNTIF(测试执行表!C2:C593,A8)</f>
        <v/>
      </c>
      <c r="C8">
        <f>COUNTIFS(测试执行表!C2:C593,A8,测试执行表!J2:J593,"通过")</f>
        <v/>
      </c>
      <c r="D8">
        <f>COUNTIFS(测试执行表!C2:C593,A8,测试执行表!J2:J593,"不通过")</f>
        <v/>
      </c>
      <c r="E8">
        <f>COUNTIFS(测试执行表!C2:C593,A8,测试执行表!J2:J593,"不适用")</f>
        <v/>
      </c>
      <c r="F8">
        <f>COUNTIFS(测试执行表!C2:C593,A8,测试执行表!J2:J593,"待测")+COUNTIFS(测试执行表!C2:C593,A8,测试执行表!J2:J593,"暂不测试")</f>
        <v/>
      </c>
      <c r="G8">
        <f>B8-C8-D8-E8-F8</f>
        <v/>
      </c>
    </row>
    <row r="9">
      <c r="A9" t="inlineStr">
        <is>
          <t>检查功能</t>
        </is>
      </c>
      <c r="B9">
        <f>COUNTIF(测试执行表!C2:C593,A9)</f>
        <v/>
      </c>
      <c r="C9">
        <f>COUNTIFS(测试执行表!C2:C593,A9,测试执行表!J2:J593,"通过")</f>
        <v/>
      </c>
      <c r="D9">
        <f>COUNTIFS(测试执行表!C2:C593,A9,测试执行表!J2:J593,"不通过")</f>
        <v/>
      </c>
      <c r="E9">
        <f>COUNTIFS(测试执行表!C2:C593,A9,测试执行表!J2:J593,"不适用")</f>
        <v/>
      </c>
      <c r="F9">
        <f>COUNTIFS(测试执行表!C2:C593,A9,测试执行表!J2:J593,"待测")+COUNTIFS(测试执行表!C2:C593,A9,测试执行表!J2:J593,"暂不测试")</f>
        <v/>
      </c>
      <c r="G9">
        <f>B9-C9-D9-E9-F9</f>
        <v/>
      </c>
    </row>
    <row r="10">
      <c r="A10" t="inlineStr">
        <is>
          <t>电源</t>
        </is>
      </c>
      <c r="B10">
        <f>COUNTIF(测试执行表!C2:C593,A10)</f>
        <v/>
      </c>
      <c r="C10">
        <f>COUNTIFS(测试执行表!C2:C593,A10,测试执行表!J2:J593,"通过")</f>
        <v/>
      </c>
      <c r="D10">
        <f>COUNTIFS(测试执行表!C2:C593,A10,测试执行表!J2:J593,"不通过")</f>
        <v/>
      </c>
      <c r="E10">
        <f>COUNTIFS(测试执行表!C2:C593,A10,测试执行表!J2:J593,"不适用")</f>
        <v/>
      </c>
      <c r="F10">
        <f>COUNTIFS(测试执行表!C2:C593,A10,测试执行表!J2:J593,"待测")+COUNTIFS(测试执行表!C2:C593,A10,测试执行表!J2:J593,"暂不测试")</f>
        <v/>
      </c>
      <c r="G10">
        <f>B10-C10-D10-E10-F10</f>
        <v/>
      </c>
    </row>
    <row r="11">
      <c r="A11" t="inlineStr">
        <is>
          <t>看门狗</t>
        </is>
      </c>
      <c r="B11">
        <f>COUNTIF(测试执行表!C2:C593,A11)</f>
        <v/>
      </c>
      <c r="C11">
        <f>COUNTIFS(测试执行表!C2:C593,A11,测试执行表!J2:J593,"通过")</f>
        <v/>
      </c>
      <c r="D11">
        <f>COUNTIFS(测试执行表!C2:C593,A11,测试执行表!J2:J593,"不通过")</f>
        <v/>
      </c>
      <c r="E11">
        <f>COUNTIFS(测试执行表!C2:C593,A11,测试执行表!J2:J593,"不适用")</f>
        <v/>
      </c>
      <c r="F11">
        <f>COUNTIFS(测试执行表!C2:C593,A11,测试执行表!J2:J593,"待测")+COUNTIFS(测试执行表!C2:C593,A11,测试执行表!J2:J593,"暂不测试")</f>
        <v/>
      </c>
      <c r="G11">
        <f>B11-C11-D11-E11-F11</f>
        <v/>
      </c>
    </row>
    <row r="12">
      <c r="A12" t="inlineStr">
        <is>
          <t>通信</t>
        </is>
      </c>
      <c r="B12">
        <f>COUNTIF(测试执行表!C2:C593,A12)</f>
        <v/>
      </c>
      <c r="C12">
        <f>COUNTIFS(测试执行表!C2:C593,A12,测试执行表!J2:J593,"通过")</f>
        <v/>
      </c>
      <c r="D12">
        <f>COUNTIFS(测试执行表!C2:C593,A12,测试执行表!J2:J593,"不通过")</f>
        <v/>
      </c>
      <c r="E12">
        <f>COUNTIFS(测试执行表!C2:C593,A12,测试执行表!J2:J593,"不适用")</f>
        <v/>
      </c>
      <c r="F12">
        <f>COUNTIFS(测试执行表!C2:C593,A12,测试执行表!J2:J593,"待测")+COUNTIFS(测试执行表!C2:C593,A12,测试执行表!J2:J593,"暂不测试")</f>
        <v/>
      </c>
      <c r="G12">
        <f>B12-C12-D12-E12-F12</f>
        <v/>
      </c>
    </row>
    <row r="13">
      <c r="A13" t="inlineStr">
        <is>
          <t>存储单元(黑匣子)</t>
        </is>
      </c>
      <c r="B13">
        <f>COUNTIF(测试执行表!C2:C593,A13)</f>
        <v/>
      </c>
      <c r="C13">
        <f>COUNTIFS(测试执行表!C2:C593,A13,测试执行表!J2:J593,"通过")</f>
        <v/>
      </c>
      <c r="D13">
        <f>COUNTIFS(测试执行表!C2:C593,A13,测试执行表!J2:J593,"不通过")</f>
        <v/>
      </c>
      <c r="E13">
        <f>COUNTIFS(测试执行表!C2:C593,A13,测试执行表!J2:J593,"不适用")</f>
        <v/>
      </c>
      <c r="F13">
        <f>COUNTIFS(测试执行表!C2:C593,A13,测试执行表!J2:J593,"待测")+COUNTIFS(测试执行表!C2:C593,A13,测试执行表!J2:J593,"暂不测试")</f>
        <v/>
      </c>
      <c r="G13">
        <f>B13-C13-D13-E13-F13</f>
        <v/>
      </c>
    </row>
    <row r="14">
      <c r="A14" t="inlineStr">
        <is>
          <t>操作级别</t>
        </is>
      </c>
      <c r="B14">
        <f>COUNTIF(测试执行表!C2:C593,A14)</f>
        <v/>
      </c>
      <c r="C14">
        <f>COUNTIFS(测试执行表!C2:C593,A14,测试执行表!J2:J593,"通过")</f>
        <v/>
      </c>
      <c r="D14">
        <f>COUNTIFS(测试执行表!C2:C593,A14,测试执行表!J2:J593,"不通过")</f>
        <v/>
      </c>
      <c r="E14">
        <f>COUNTIFS(测试执行表!C2:C593,A14,测试执行表!J2:J593,"不适用")</f>
        <v/>
      </c>
      <c r="F14">
        <f>COUNTIFS(测试执行表!C2:C593,A14,测试执行表!J2:J593,"待测")+COUNTIFS(测试执行表!C2:C593,A14,测试执行表!J2:J593,"暂不测试")</f>
        <v/>
      </c>
      <c r="G14">
        <f>B14-C14-D14-E14-F14</f>
        <v/>
      </c>
    </row>
    <row r="15">
      <c r="A15" t="inlineStr">
        <is>
          <t>气体灭火控制器</t>
        </is>
      </c>
      <c r="B15">
        <f>COUNTIF(测试执行表!C2:C593,A15)</f>
        <v/>
      </c>
      <c r="C15">
        <f>COUNTIFS(测试执行表!C2:C593,A15,测试执行表!J2:J593,"通过")</f>
        <v/>
      </c>
      <c r="D15">
        <f>COUNTIFS(测试执行表!C2:C593,A15,测试执行表!J2:J593,"不通过")</f>
        <v/>
      </c>
      <c r="E15">
        <f>COUNTIFS(测试执行表!C2:C593,A15,测试执行表!J2:J593,"不适用")</f>
        <v/>
      </c>
      <c r="F15">
        <f>COUNTIFS(测试执行表!C2:C593,A15,测试执行表!J2:J593,"待测")+COUNTIFS(测试执行表!C2:C593,A15,测试执行表!J2:J593,"暂不测试")</f>
        <v/>
      </c>
      <c r="G15">
        <f>B15-C15-D15-E15-F15</f>
        <v/>
      </c>
    </row>
    <row r="16">
      <c r="A16" t="inlineStr">
        <is>
          <t>结构与外观</t>
        </is>
      </c>
      <c r="B16">
        <f>COUNTIF(测试执行表!C2:C593,A16)</f>
        <v/>
      </c>
      <c r="C16">
        <f>COUNTIFS(测试执行表!C2:C593,A16,测试执行表!J2:J593,"通过")</f>
        <v/>
      </c>
      <c r="D16">
        <f>COUNTIFS(测试执行表!C2:C593,A16,测试执行表!J2:J593,"不通过")</f>
        <v/>
      </c>
      <c r="E16">
        <f>COUNTIFS(测试执行表!C2:C593,A16,测试执行表!J2:J593,"不适用")</f>
        <v/>
      </c>
      <c r="F16">
        <f>COUNTIFS(测试执行表!C2:C593,A16,测试执行表!J2:J593,"待测")+COUNTIFS(测试执行表!C2:C593,A16,测试执行表!J2:J593,"暂不测试")</f>
        <v/>
      </c>
      <c r="G16">
        <f>B16-C16-D16-E16-F16</f>
        <v/>
      </c>
    </row>
    <row r="17">
      <c r="A17" t="inlineStr">
        <is>
          <t>人机菜单(产品级)</t>
        </is>
      </c>
      <c r="B17">
        <f>COUNTIF(测试执行表!C2:C593,A17)</f>
        <v/>
      </c>
      <c r="C17">
        <f>COUNTIFS(测试执行表!C2:C593,A17,测试执行表!J2:J593,"通过")</f>
        <v/>
      </c>
      <c r="D17">
        <f>COUNTIFS(测试执行表!C2:C593,A17,测试执行表!J2:J593,"不通过")</f>
        <v/>
      </c>
      <c r="E17">
        <f>COUNTIFS(测试执行表!C2:C593,A17,测试执行表!J2:J593,"不适用")</f>
        <v/>
      </c>
      <c r="F17">
        <f>COUNTIFS(测试执行表!C2:C593,A17,测试执行表!J2:J593,"待测")+COUNTIFS(测试执行表!C2:C593,A17,测试执行表!J2:J593,"暂不测试")</f>
        <v/>
      </c>
      <c r="G17">
        <f>B17-C17-D17-E17-F17</f>
        <v/>
      </c>
    </row>
    <row r="18">
      <c r="A18" t="inlineStr">
        <is>
          <t>型式试验</t>
        </is>
      </c>
      <c r="B18">
        <f>COUNTIF(测试执行表!C2:C593,A18)</f>
        <v/>
      </c>
      <c r="C18">
        <f>COUNTIFS(测试执行表!C2:C593,A18,测试执行表!J2:J593,"通过")</f>
        <v/>
      </c>
      <c r="D18">
        <f>COUNTIFS(测试执行表!C2:C593,A18,测试执行表!J2:J593,"不通过")</f>
        <v/>
      </c>
      <c r="E18">
        <f>COUNTIFS(测试执行表!C2:C593,A18,测试执行表!J2:J593,"不适用")</f>
        <v/>
      </c>
      <c r="F18">
        <f>COUNTIFS(测试执行表!C2:C593,A18,测试执行表!J2:J593,"待测")+COUNTIFS(测试执行表!C2:C593,A18,测试执行表!J2:J593,"暂不测试")</f>
        <v/>
      </c>
      <c r="G18">
        <f>B18-C18-D18-E18-F18</f>
        <v/>
      </c>
    </row>
    <row r="19">
      <c r="A19" s="10" t="inlineStr">
        <is>
          <t>合计</t>
        </is>
      </c>
      <c r="B19" s="10">
        <f>SUM(B2:B18)</f>
        <v/>
      </c>
      <c r="C19" s="10">
        <f>SUM(C2:C593)</f>
        <v/>
      </c>
      <c r="D19" s="10">
        <f>SUM(D2:D18)</f>
        <v/>
      </c>
      <c r="E19" s="10">
        <f>SUM(E2:E18)</f>
        <v/>
      </c>
      <c r="F19" s="10">
        <f>SUM(F2:F18)</f>
        <v/>
      </c>
      <c r="G19" s="10">
        <f>SUM(G2:G18)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2026-08-18T06:58:29Z</dcterms:created>
  <dcterms:modified xsi:type="dcterms:W3CDTF">2026-09-03T02:53:26Z</dcterms:modified>
</cp:coreProperties>
</file>