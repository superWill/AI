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不通过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待测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待测</t>
        </is>
      </c>
      <c r="K127" s="2" t="n"/>
      <c r="L127" s="2" t="n"/>
      <c r="M127" s="3" t="inlineStr">
        <is>
          <t>2026-08-19 按条款项拆分为 .1～.5——原整案"通过"继承给 .1 断路；短路/接地/探头若当时已做，请把对应子行勾回通过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待测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待测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待测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待测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待测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待测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待测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待测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待测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待测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待测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待测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待测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待测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待测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  <row r="636">
      <c r="A636" s="15" t="n">
        <v>635</v>
      </c>
      <c r="B636" s="15" t="inlineStr">
        <is>
          <t>FT-01.1</t>
        </is>
      </c>
      <c r="C636" s="15" t="inlineStr">
        <is>
          <t>故障报警</t>
        </is>
      </c>
      <c r="D636" s="15" t="inlineStr">
        <is>
          <t>回路断路</t>
        </is>
      </c>
      <c r="E636" s="15" t="inlineStr">
        <is>
          <t>P0</t>
        </is>
      </c>
      <c r="F636" s="15" t="inlineStr">
        <is>
          <t>5.4.3.3 a)</t>
        </is>
      </c>
      <c r="G636" s="15" t="inlineStr">
        <is>
          <t>拔部件支线</t>
        </is>
      </c>
      <c r="H636" s="15" t="inlineStr">
        <is>
          <t>≤100 s 报障并指示部位</t>
        </is>
      </c>
      <c r="I636" s="15" t="inlineStr"/>
      <c r="J636" s="15" t="inlineStr">
        <is>
          <t>通过</t>
        </is>
      </c>
      <c r="K636" s="15" t="inlineStr"/>
      <c r="L636" s="15" t="inlineStr">
        <is>
          <t>2026-08-19</t>
        </is>
      </c>
      <c r="M636" s="15" t="inlineStr">
        <is>
          <t>继承原 FT-01 整案通过（断路已实测：输入1断路故障）</t>
        </is>
      </c>
    </row>
    <row r="637">
      <c r="A637" s="15" t="n">
        <v>636</v>
      </c>
      <c r="B637" s="15" t="inlineStr">
        <is>
          <t>FT-01.2</t>
        </is>
      </c>
      <c r="C637" s="15" t="inlineStr">
        <is>
          <t>故障报警</t>
        </is>
      </c>
      <c r="D637" s="15" t="inlineStr">
        <is>
          <t>回路短路</t>
        </is>
      </c>
      <c r="E637" s="15" t="inlineStr">
        <is>
          <t>P0</t>
        </is>
      </c>
      <c r="F637" s="15" t="inlineStr">
        <is>
          <t>5.4.3.3 a)</t>
        </is>
      </c>
      <c r="G637" s="15" t="inlineStr">
        <is>
          <t>总线两线短接</t>
        </is>
      </c>
      <c r="H637" s="15" t="inlineStr">
        <is>
          <t>≤100 s 报障（总线制短路应报故障）</t>
        </is>
      </c>
      <c r="I637" s="15" t="inlineStr"/>
      <c r="J637" s="15" t="inlineStr">
        <is>
          <t>待测</t>
        </is>
      </c>
      <c r="K637" s="15" t="inlineStr"/>
      <c r="L637" s="15" t="inlineStr"/>
      <c r="M637" s="15" t="inlineStr"/>
    </row>
    <row r="638">
      <c r="A638" s="15" t="n">
        <v>637</v>
      </c>
      <c r="B638" s="15" t="inlineStr">
        <is>
          <t>FT-01.3</t>
        </is>
      </c>
      <c r="C638" s="15" t="inlineStr">
        <is>
          <t>故障报警</t>
        </is>
      </c>
      <c r="D638" s="15" t="inlineStr">
        <is>
          <t>影响功能的接地</t>
        </is>
      </c>
      <c r="E638" s="15" t="inlineStr">
        <is>
          <t>P0</t>
        </is>
      </c>
      <c r="F638" s="15" t="inlineStr">
        <is>
          <t>5.4.3.3 a)</t>
        </is>
      </c>
      <c r="G638" s="15" t="inlineStr">
        <is>
          <t>回路线直接碰机壳</t>
        </is>
      </c>
      <c r="H638" s="15" t="inlineStr">
        <is>
          <t>≤100 s 报障；火警下仍须显示（尾注例外）</t>
        </is>
      </c>
      <c r="I638" s="15" t="inlineStr"/>
      <c r="J638" s="15" t="inlineStr">
        <is>
          <t>待测</t>
        </is>
      </c>
      <c r="K638" s="15" t="inlineStr"/>
      <c r="L638" s="15" t="inlineStr"/>
      <c r="M638" s="15" t="inlineStr"/>
    </row>
    <row r="639">
      <c r="A639" s="15" t="n">
        <v>638</v>
      </c>
      <c r="B639" s="15" t="inlineStr">
        <is>
          <t>FT-01.4</t>
        </is>
      </c>
      <c r="C639" s="15" t="inlineStr">
        <is>
          <t>故障报警</t>
        </is>
      </c>
      <c r="D639" s="15" t="inlineStr">
        <is>
          <t>探头与底座断路</t>
        </is>
      </c>
      <c r="E639" s="15" t="inlineStr">
        <is>
          <t>P0</t>
        </is>
      </c>
      <c r="F639" s="15" t="inlineStr">
        <is>
          <t>5.4.3.3 a) 尾句</t>
        </is>
      </c>
      <c r="G639" s="15" t="inlineStr">
        <is>
          <t>拧下探头保留底座</t>
        </is>
      </c>
      <c r="H639" s="15" t="inlineStr">
        <is>
          <t>≤100 s 报该部位故障（防拆）</t>
        </is>
      </c>
      <c r="I639" s="15" t="inlineStr"/>
      <c r="J639" s="15" t="inlineStr">
        <is>
          <t>待测</t>
        </is>
      </c>
      <c r="K639" s="15" t="inlineStr"/>
      <c r="L639" s="15" t="inlineStr"/>
      <c r="M639" s="15" t="inlineStr"/>
    </row>
    <row r="640">
      <c r="A640" s="15" t="n">
        <v>639</v>
      </c>
      <c r="B640" s="15" t="inlineStr">
        <is>
          <t>FT-01.5</t>
        </is>
      </c>
      <c r="C640" s="15" t="inlineStr">
        <is>
          <t>故障报警</t>
        </is>
      </c>
      <c r="D640" s="15" t="inlineStr">
        <is>
          <t>手报及传输部件连线故障</t>
        </is>
      </c>
      <c r="E640" s="15" t="inlineStr">
        <is>
          <t>P0</t>
        </is>
      </c>
      <c r="F640" s="15" t="inlineStr">
        <is>
          <t>5.4.3.3 a)</t>
        </is>
      </c>
      <c r="G640" s="15" t="inlineStr">
        <is>
          <t>断/短/接地分别制造</t>
        </is>
      </c>
      <c r="H640" s="15" t="inlineStr">
        <is>
          <t>≤100 s 报障指示部位</t>
        </is>
      </c>
      <c r="I640" s="15" t="inlineStr"/>
      <c r="J640" s="15" t="inlineStr">
        <is>
          <t>待测</t>
        </is>
      </c>
      <c r="K640" s="15" t="inlineStr"/>
      <c r="L640" s="15" t="inlineStr"/>
      <c r="M640" s="15" t="inlineStr">
        <is>
          <t>待条件：需手报</t>
        </is>
      </c>
    </row>
    <row r="641">
      <c r="A641" s="15" t="n">
        <v>640</v>
      </c>
      <c r="B641" s="15" t="inlineStr">
        <is>
          <t>FT-02.3</t>
        </is>
      </c>
      <c r="C641" s="15" t="inlineStr">
        <is>
          <t>故障报警</t>
        </is>
      </c>
      <c r="D641" s="15" t="inlineStr">
        <is>
          <t>火灾显示盘连线故障</t>
        </is>
      </c>
      <c r="E641" s="15" t="inlineStr">
        <is>
          <t>P0</t>
        </is>
      </c>
      <c r="F641" s="15" t="inlineStr">
        <is>
          <t>5.4.3.3 b)</t>
        </is>
      </c>
      <c r="G641" s="15" t="inlineStr">
        <is>
          <t>断/短/接地分别制造</t>
        </is>
      </c>
      <c r="H641" s="15" t="inlineStr">
        <is>
          <t>≤100 s 报障指示部位</t>
        </is>
      </c>
      <c r="I641" s="15" t="inlineStr"/>
      <c r="J641" s="15" t="inlineStr">
        <is>
          <t>待测</t>
        </is>
      </c>
      <c r="K641" s="15" t="inlineStr"/>
      <c r="L641" s="15" t="inlineStr"/>
      <c r="M641" s="15" t="inlineStr">
        <is>
          <t>待条件：需火灾显示盘；可先用注册无硬件法验监督路径</t>
        </is>
      </c>
    </row>
    <row r="642">
      <c r="A642" s="15" t="n">
        <v>641</v>
      </c>
      <c r="B642" s="15" t="inlineStr">
        <is>
          <t>FT-02.4</t>
        </is>
      </c>
      <c r="C642" s="15" t="inlineStr">
        <is>
          <t>故障报警</t>
        </is>
      </c>
      <c r="D642" s="15" t="inlineStr">
        <is>
          <t>传输设备连线故障</t>
        </is>
      </c>
      <c r="E642" s="15" t="inlineStr">
        <is>
          <t>P0</t>
        </is>
      </c>
      <c r="F642" s="15" t="inlineStr">
        <is>
          <t>5.4.3.3 c)</t>
        </is>
      </c>
      <c r="G642" s="15" t="inlineStr">
        <is>
          <t>断/短/接地分别制造</t>
        </is>
      </c>
      <c r="H642" s="15" t="inlineStr">
        <is>
          <t>≤100 s 报障；火警下显示不受影响</t>
        </is>
      </c>
      <c r="I642" s="15" t="inlineStr"/>
      <c r="J642" s="15" t="inlineStr">
        <is>
          <t>待测</t>
        </is>
      </c>
      <c r="K642" s="15" t="inlineStr"/>
      <c r="L642" s="15" t="inlineStr"/>
      <c r="M642" s="15" t="inlineStr">
        <is>
          <t>待条件：需传输装置</t>
        </is>
      </c>
    </row>
    <row r="643">
      <c r="A643" s="15" t="n">
        <v>642</v>
      </c>
      <c r="B643" s="15" t="inlineStr">
        <is>
          <t>FT-02.5</t>
        </is>
      </c>
      <c r="C643" s="15" t="inlineStr">
        <is>
          <t>故障报警</t>
        </is>
      </c>
      <c r="D643" s="15" t="inlineStr">
        <is>
          <t>无线设备通信故障</t>
        </is>
      </c>
      <c r="E643" s="15" t="inlineStr">
        <is>
          <t>P0</t>
        </is>
      </c>
      <c r="F643" s="15" t="inlineStr">
        <is>
          <t>5.4.3.3 e)</t>
        </is>
      </c>
      <c r="G643" s="15" t="inlineStr">
        <is>
          <t>使无线通信中断</t>
        </is>
      </c>
      <c r="H643" s="15" t="inlineStr">
        <is>
          <t>≤100 s 报障；火警下显示不受影响</t>
        </is>
      </c>
      <c r="I643" s="15" t="inlineStr"/>
      <c r="J643" s="15" t="inlineStr">
        <is>
          <t>不适用</t>
        </is>
      </c>
      <c r="K643" s="15" t="inlineStr"/>
      <c r="L643" s="15" t="inlineStr">
        <is>
          <t>2026-08-19</t>
        </is>
      </c>
      <c r="M643" s="15" t="inlineStr">
        <is>
          <t>条件适用条款：产品无无线设备</t>
        </is>
      </c>
    </row>
  </sheetData>
  <autoFilter ref="A1:M64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642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COUNTIF(测试执行表!C2:C643,A2)</f>
        <v/>
      </c>
      <c r="C2">
        <f>COUNTIFS(测试执行表!C2:C643,A2,测试执行表!J2:J643,"通过")</f>
        <v/>
      </c>
      <c r="D2">
        <f>COUNTIFS(测试执行表!C2:C643,A2,测试执行表!J2:J643,"不通过")</f>
        <v/>
      </c>
      <c r="E2">
        <f>COUNTIFS(测试执行表!C2:C643,A2,测试执行表!J2:J643,"不适用")</f>
        <v/>
      </c>
      <c r="F2">
        <f>COUNTIFS(测试执行表!C2:C643,A2,测试执行表!J2:J643,"待测")+COUNTIFS(测试执行表!C2:C643,A2,测试执行表!J2:J643,"暂不测试")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COUNTIF(测试执行表!C2:C643,A3)</f>
        <v/>
      </c>
      <c r="C3">
        <f>COUNTIFS(测试执行表!C2:C643,A3,测试执行表!J2:J643,"通过")</f>
        <v/>
      </c>
      <c r="D3">
        <f>COUNTIFS(测试执行表!C2:C643,A3,测试执行表!J2:J643,"不通过")</f>
        <v/>
      </c>
      <c r="E3">
        <f>COUNTIFS(测试执行表!C2:C643,A3,测试执行表!J2:J643,"不适用")</f>
        <v/>
      </c>
      <c r="F3">
        <f>COUNTIFS(测试执行表!C2:C643,A3,测试执行表!J2:J643,"待测")+COUNTIFS(测试执行表!C2:C643,A3,测试执行表!J2:J643,"暂不测试")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COUNTIF(测试执行表!C2:C643,A4)</f>
        <v/>
      </c>
      <c r="C4">
        <f>COUNTIFS(测试执行表!C2:C643,A4,测试执行表!J2:J643,"通过")</f>
        <v/>
      </c>
      <c r="D4">
        <f>COUNTIFS(测试执行表!C2:C643,A4,测试执行表!J2:J643,"不通过")</f>
        <v/>
      </c>
      <c r="E4">
        <f>COUNTIFS(测试执行表!C2:C643,A4,测试执行表!J2:J643,"不适用")</f>
        <v/>
      </c>
      <c r="F4">
        <f>COUNTIFS(测试执行表!C2:C643,A4,测试执行表!J2:J643,"待测")+COUNTIFS(测试执行表!C2:C643,A4,测试执行表!J2:J643,"暂不测试")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COUNTIF(测试执行表!C2:C643,A5)</f>
        <v/>
      </c>
      <c r="C5">
        <f>COUNTIFS(测试执行表!C2:C643,A5,测试执行表!J2:J643,"通过")</f>
        <v/>
      </c>
      <c r="D5">
        <f>COUNTIFS(测试执行表!C2:C643,A5,测试执行表!J2:J643,"不通过")</f>
        <v/>
      </c>
      <c r="E5">
        <f>COUNTIFS(测试执行表!C2:C643,A5,测试执行表!J2:J643,"不适用")</f>
        <v/>
      </c>
      <c r="F5">
        <f>COUNTIFS(测试执行表!C2:C643,A5,测试执行表!J2:J643,"待测")+COUNTIFS(测试执行表!C2:C643,A5,测试执行表!J2:J643,"暂不测试")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COUNTIF(测试执行表!C2:C643,A6)</f>
        <v/>
      </c>
      <c r="C6">
        <f>COUNTIFS(测试执行表!C2:C643,A6,测试执行表!J2:J643,"通过")</f>
        <v/>
      </c>
      <c r="D6">
        <f>COUNTIFS(测试执行表!C2:C643,A6,测试执行表!J2:J643,"不通过")</f>
        <v/>
      </c>
      <c r="E6">
        <f>COUNTIFS(测试执行表!C2:C643,A6,测试执行表!J2:J643,"不适用")</f>
        <v/>
      </c>
      <c r="F6">
        <f>COUNTIFS(测试执行表!C2:C643,A6,测试执行表!J2:J643,"待测")+COUNTIFS(测试执行表!C2:C643,A6,测试执行表!J2:J643,"暂不测试")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COUNTIF(测试执行表!C2:C643,A7)</f>
        <v/>
      </c>
      <c r="C7">
        <f>COUNTIFS(测试执行表!C2:C643,A7,测试执行表!J2:J643,"通过")</f>
        <v/>
      </c>
      <c r="D7">
        <f>COUNTIFS(测试执行表!C2:C643,A7,测试执行表!J2:J643,"不通过")</f>
        <v/>
      </c>
      <c r="E7">
        <f>COUNTIFS(测试执行表!C2:C643,A7,测试执行表!J2:J643,"不适用")</f>
        <v/>
      </c>
      <c r="F7">
        <f>COUNTIFS(测试执行表!C2:C643,A7,测试执行表!J2:J643,"待测")+COUNTIFS(测试执行表!C2:C643,A7,测试执行表!J2:J643,"暂不测试")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COUNTIF(测试执行表!C2:C643,A8)</f>
        <v/>
      </c>
      <c r="C8">
        <f>COUNTIFS(测试执行表!C2:C643,A8,测试执行表!J2:J643,"通过")</f>
        <v/>
      </c>
      <c r="D8">
        <f>COUNTIFS(测试执行表!C2:C643,A8,测试执行表!J2:J643,"不通过")</f>
        <v/>
      </c>
      <c r="E8">
        <f>COUNTIFS(测试执行表!C2:C643,A8,测试执行表!J2:J643,"不适用")</f>
        <v/>
      </c>
      <c r="F8">
        <f>COUNTIFS(测试执行表!C2:C643,A8,测试执行表!J2:J643,"待测")+COUNTIFS(测试执行表!C2:C643,A8,测试执行表!J2:J643,"暂不测试")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COUNTIF(测试执行表!C2:C643,A9)</f>
        <v/>
      </c>
      <c r="C9">
        <f>COUNTIFS(测试执行表!C2:C643,A9,测试执行表!J2:J643,"通过")</f>
        <v/>
      </c>
      <c r="D9">
        <f>COUNTIFS(测试执行表!C2:C643,A9,测试执行表!J2:J643,"不通过")</f>
        <v/>
      </c>
      <c r="E9">
        <f>COUNTIFS(测试执行表!C2:C643,A9,测试执行表!J2:J643,"不适用")</f>
        <v/>
      </c>
      <c r="F9">
        <f>COUNTIFS(测试执行表!C2:C643,A9,测试执行表!J2:J643,"待测")+COUNTIFS(测试执行表!C2:C643,A9,测试执行表!J2:J643,"暂不测试")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COUNTIF(测试执行表!C2:C643,A10)</f>
        <v/>
      </c>
      <c r="C10">
        <f>COUNTIFS(测试执行表!C2:C643,A10,测试执行表!J2:J643,"通过")</f>
        <v/>
      </c>
      <c r="D10">
        <f>COUNTIFS(测试执行表!C2:C643,A10,测试执行表!J2:J643,"不通过")</f>
        <v/>
      </c>
      <c r="E10">
        <f>COUNTIFS(测试执行表!C2:C643,A10,测试执行表!J2:J643,"不适用")</f>
        <v/>
      </c>
      <c r="F10">
        <f>COUNTIFS(测试执行表!C2:C643,A10,测试执行表!J2:J643,"待测")+COUNTIFS(测试执行表!C2:C643,A10,测试执行表!J2:J643,"暂不测试")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COUNTIF(测试执行表!C2:C643,A11)</f>
        <v/>
      </c>
      <c r="C11">
        <f>COUNTIFS(测试执行表!C2:C643,A11,测试执行表!J2:J643,"通过")</f>
        <v/>
      </c>
      <c r="D11">
        <f>COUNTIFS(测试执行表!C2:C643,A11,测试执行表!J2:J643,"不通过")</f>
        <v/>
      </c>
      <c r="E11">
        <f>COUNTIFS(测试执行表!C2:C643,A11,测试执行表!J2:J643,"不适用")</f>
        <v/>
      </c>
      <c r="F11">
        <f>COUNTIFS(测试执行表!C2:C643,A11,测试执行表!J2:J643,"待测")+COUNTIFS(测试执行表!C2:C643,A11,测试执行表!J2:J643,"暂不测试")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COUNTIF(测试执行表!C2:C643,A12)</f>
        <v/>
      </c>
      <c r="C12">
        <f>COUNTIFS(测试执行表!C2:C643,A12,测试执行表!J2:J643,"通过")</f>
        <v/>
      </c>
      <c r="D12">
        <f>COUNTIFS(测试执行表!C2:C643,A12,测试执行表!J2:J643,"不通过")</f>
        <v/>
      </c>
      <c r="E12">
        <f>COUNTIFS(测试执行表!C2:C643,A12,测试执行表!J2:J643,"不适用")</f>
        <v/>
      </c>
      <c r="F12">
        <f>COUNTIFS(测试执行表!C2:C643,A12,测试执行表!J2:J643,"待测")+COUNTIFS(测试执行表!C2:C643,A12,测试执行表!J2:J643,"暂不测试")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COUNTIF(测试执行表!C2:C643,A13)</f>
        <v/>
      </c>
      <c r="C13">
        <f>COUNTIFS(测试执行表!C2:C643,A13,测试执行表!J2:J643,"通过")</f>
        <v/>
      </c>
      <c r="D13">
        <f>COUNTIFS(测试执行表!C2:C643,A13,测试执行表!J2:J643,"不通过")</f>
        <v/>
      </c>
      <c r="E13">
        <f>COUNTIFS(测试执行表!C2:C643,A13,测试执行表!J2:J643,"不适用")</f>
        <v/>
      </c>
      <c r="F13">
        <f>COUNTIFS(测试执行表!C2:C643,A13,测试执行表!J2:J643,"待测")+COUNTIFS(测试执行表!C2:C643,A13,测试执行表!J2:J643,"暂不测试")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COUNTIF(测试执行表!C2:C643,A14)</f>
        <v/>
      </c>
      <c r="C14">
        <f>COUNTIFS(测试执行表!C2:C643,A14,测试执行表!J2:J643,"通过")</f>
        <v/>
      </c>
      <c r="D14">
        <f>COUNTIFS(测试执行表!C2:C643,A14,测试执行表!J2:J643,"不通过")</f>
        <v/>
      </c>
      <c r="E14">
        <f>COUNTIFS(测试执行表!C2:C643,A14,测试执行表!J2:J643,"不适用")</f>
        <v/>
      </c>
      <c r="F14">
        <f>COUNTIFS(测试执行表!C2:C643,A14,测试执行表!J2:J643,"待测")+COUNTIFS(测试执行表!C2:C643,A14,测试执行表!J2:J643,"暂不测试")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COUNTIF(测试执行表!C2:C643,A15)</f>
        <v/>
      </c>
      <c r="C15">
        <f>COUNTIFS(测试执行表!C2:C643,A15,测试执行表!J2:J643,"通过")</f>
        <v/>
      </c>
      <c r="D15">
        <f>COUNTIFS(测试执行表!C2:C643,A15,测试执行表!J2:J643,"不通过")</f>
        <v/>
      </c>
      <c r="E15">
        <f>COUNTIFS(测试执行表!C2:C643,A15,测试执行表!J2:J643,"不适用")</f>
        <v/>
      </c>
      <c r="F15">
        <f>COUNTIFS(测试执行表!C2:C643,A15,测试执行表!J2:J643,"待测")+COUNTIFS(测试执行表!C2:C643,A15,测试执行表!J2:J643,"暂不测试")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COUNTIF(测试执行表!C2:C643,A16)</f>
        <v/>
      </c>
      <c r="C16">
        <f>COUNTIFS(测试执行表!C2:C643,A16,测试执行表!J2:J643,"通过")</f>
        <v/>
      </c>
      <c r="D16">
        <f>COUNTIFS(测试执行表!C2:C643,A16,测试执行表!J2:J643,"不通过")</f>
        <v/>
      </c>
      <c r="E16">
        <f>COUNTIFS(测试执行表!C2:C643,A16,测试执行表!J2:J643,"不适用")</f>
        <v/>
      </c>
      <c r="F16">
        <f>COUNTIFS(测试执行表!C2:C643,A16,测试执行表!J2:J643,"待测")+COUNTIFS(测试执行表!C2:C643,A16,测试执行表!J2:J643,"暂不测试")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COUNTIF(测试执行表!C2:C643,A17)</f>
        <v/>
      </c>
      <c r="C17">
        <f>COUNTIFS(测试执行表!C2:C643,A17,测试执行表!J2:J643,"通过")</f>
        <v/>
      </c>
      <c r="D17">
        <f>COUNTIFS(测试执行表!C2:C643,A17,测试执行表!J2:J643,"不通过")</f>
        <v/>
      </c>
      <c r="E17">
        <f>COUNTIFS(测试执行表!C2:C643,A17,测试执行表!J2:J643,"不适用")</f>
        <v/>
      </c>
      <c r="F17">
        <f>COUNTIFS(测试执行表!C2:C643,A17,测试执行表!J2:J643,"待测")+COUNTIFS(测试执行表!C2:C643,A17,测试执行表!J2:J643,"暂不测试")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COUNTIF(测试执行表!C2:C643,A18)</f>
        <v/>
      </c>
      <c r="C18">
        <f>COUNTIFS(测试执行表!C2:C643,A18,测试执行表!J2:J643,"通过")</f>
        <v/>
      </c>
      <c r="D18">
        <f>COUNTIFS(测试执行表!C2:C643,A18,测试执行表!J2:J643,"不通过")</f>
        <v/>
      </c>
      <c r="E18">
        <f>COUNTIFS(测试执行表!C2:C643,A18,测试执行表!J2:J643,"不适用")</f>
        <v/>
      </c>
      <c r="F18">
        <f>COUNTIFS(测试执行表!C2:C643,A18,测试执行表!J2:J643,"待测")+COUNTIFS(测试执行表!C2:C643,A18,测试执行表!J2:J643,"暂不测试")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SUM(C2:C643)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2026-08-19T06:29:53Z</dcterms:modified>
</cp:coreProperties>
</file>