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菜单覆盖" sheetId="2" state="visible" r:id="rId2"/>
    <sheet name="统计" sheetId="3" state="visible" r:id="rId3"/>
    <sheet name="分组统计" sheetId="4" state="visible" r:id="rId4"/>
    <sheet name="缺陷汇总" sheetId="5" state="visible" r:id="rId5"/>
  </sheets>
  <definedNames>
    <definedName name="_xlnm._FilterDatabase" localSheetId="0" hidden="1">'测试执行表'!$A$1:$M$634</definedName>
    <definedName name="_xlnm._FilterDatabase" localSheetId="4" hidden="1">'缺陷汇总'!$A$1:$F$40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7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2026-08-18</t>
        </is>
      </c>
      <c r="M5" s="3" t="n"/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暂不测试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暂不测试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暂不测试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暂不测试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暂不测试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暂不测试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暂不测试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暂不测试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待测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n"/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n"/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n"/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待条件：需第2个火警触发部位（再加1只烟感或手报）——消音后的『新火警』须来自新部位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待条件：需第2个火警触发部位（同上）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暂不测试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暂不测试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暂不测试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暂不测试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暂不测试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暂不测试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暂不测试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n"/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n"/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n"/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n"/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暂不测试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n"/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暂不测试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n"/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n"/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n"/>
      <c r="K59" s="2" t="n"/>
      <c r="L59" s="2" t="n"/>
      <c r="M59" s="3" t="n"/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n"/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n"/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n"/>
      <c r="K62" s="2" t="n"/>
      <c r="L62" s="2" t="n"/>
      <c r="M62" s="3" t="n"/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n"/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n"/>
      <c r="K64" s="2" t="n"/>
      <c r="L64" s="2" t="n"/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n"/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n"/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n"/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n"/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n"/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暂不测试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n"/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n"/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n"/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n"/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n"/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n"/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n"/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n"/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n"/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n"/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n"/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n"/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n"/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n"/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n"/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n"/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n"/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n"/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n"/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n"/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n"/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n"/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n"/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n"/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n"/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n"/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n"/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n"/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n"/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n"/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n"/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n"/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n"/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n"/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n"/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n"/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n"/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n"/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待条件：需第2个火警触发部位（消音后新火警再响）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n"/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n"/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待测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n"/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n"/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n"/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n"/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n"/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n"/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n"/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n"/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n"/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n"/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n"/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n"/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n"/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n"/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n"/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n"/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n"/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n"/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暂不测试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暂不测试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暂不测试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暂不测试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暂不测试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暂不测试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暂不测试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n"/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n"/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n"/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n"/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n"/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n"/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n"/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n"/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n"/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n"/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n"/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n"/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n"/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n"/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n"/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n"/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n"/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n"/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n"/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n"/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n"/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n"/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n"/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n"/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n"/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n"/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n"/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n"/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n"/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n"/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n"/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暂不测试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暂不测试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暂不测试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暂不测试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暂不测试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暂不测试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暂不测试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暂不测试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暂不测试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暂不测试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暂不测试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暂不测试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暂不测试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暂不测试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暂不测试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暂不测试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暂不测试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暂不测试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暂不测试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暂不测试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暂不测试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暂不测试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暂不测试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暂不测试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暂不测试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暂不测试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暂不测试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暂不测试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暂不测试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暂不测试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暂不测试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暂不测试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暂不测试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暂不测试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暂不测试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暂不测试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暂不测试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暂不测试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暂不测试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暂不测试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暂不测试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暂不测试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暂不测试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暂不测试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n"/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n"/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n"/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n"/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n"/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n"/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n"/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n"/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n"/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n"/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n"/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n"/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n"/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n"/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n"/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n"/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n"/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n"/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n"/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n"/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n"/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n"/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n"/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n"/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n"/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n"/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n"/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n"/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n"/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n"/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n"/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n"/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n"/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n"/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n"/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暂不测试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n"/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n"/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n"/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n"/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n"/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n"/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n"/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n"/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n"/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暂不测试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暂不测试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暂不测试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暂不测试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暂不测试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暂不测试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暂不测试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暂不测试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暂不测试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暂不测试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暂不测试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暂不测试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暂不测试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暂不测试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暂不测试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暂不测试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暂不测试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暂不测试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暂不测试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暂不测试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暂不测试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暂不测试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暂不测试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暂不测试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暂不测试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暂不测试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暂不测试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暂不测试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暂不测试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暂不测试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暂不测试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暂不测试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暂不测试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暂不测试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暂不测试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暂不测试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暂不测试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暂不测试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暂不测试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暂不测试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暂不测试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暂不测试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暂不测试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暂不测试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暂不测试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暂不测试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暂不测试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暂不测试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暂不测试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暂不测试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暂不测试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暂不测试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暂不测试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暂不测试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暂不测试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暂不测试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暂不测试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暂不测试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暂不测试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暂不测试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暂不测试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暂不测试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暂不测试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暂不测试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暂不测试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暂不测试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</sheetData>
  <autoFilter ref="A1:M634"/>
  <dataValidations count="11">
    <dataValidation sqref="J2:J606" showDropDown="0" showInputMessage="0" showErrorMessage="0" allowBlank="1" type="list">
      <formula1>"通过,不通过,不适用,待测,暂不测试"</formula1>
    </dataValidation>
    <dataValidation sqref="J2:J608" showDropDown="0" showInputMessage="0" showErrorMessage="0" allowBlank="1" type="list">
      <formula1>"通过,不通过,不适用,待测,暂不测试"</formula1>
    </dataValidation>
    <dataValidation sqref="J2:J611" showDropDown="0" showInputMessage="0" showErrorMessage="0" allowBlank="1" type="list">
      <formula1>"通过,不通过,不适用,待测,暂不测试"</formula1>
    </dataValidation>
    <dataValidation sqref="J2:J614" showDropDown="0" showInputMessage="0" showErrorMessage="0" allowBlank="1" type="list">
      <formula1>"通过,不通过,不适用,待测,暂不测试"</formula1>
    </dataValidation>
    <dataValidation sqref="J2:J617" showDropDown="0" showInputMessage="0" showErrorMessage="0" allowBlank="1" type="list">
      <formula1>"通过,不通过,不适用,待测,暂不测试"</formula1>
    </dataValidation>
    <dataValidation sqref="J2:J623" showDropDown="0" showInputMessage="0" showErrorMessage="0" allowBlank="1" type="list">
      <formula1>"通过,不通过,不适用,待测,暂不测试"</formula1>
    </dataValidation>
    <dataValidation sqref="J2:J628" showDropDown="0" showInputMessage="0" showErrorMessage="0" allowBlank="1" type="list">
      <formula1>"通过,不通过,不适用,待测,暂不测试"</formula1>
    </dataValidation>
    <dataValidation sqref="J2:J630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4" showDropDown="0" showInputMessage="0" showErrorMessage="0" allowBlank="1" type="list">
      <formula1>"通过,不通过,不适用,待测,暂不测试"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8" customWidth="1" min="4" max="4"/>
    <col width="7" customWidth="1" min="5" max="5"/>
    <col width="8" customWidth="1" min="6" max="6"/>
    <col width="11" customWidth="1" min="7" max="7"/>
    <col width="7" customWidth="1" min="8" max="8"/>
    <col width="13" customWidth="1" min="9" max="9"/>
    <col width="46" customWidth="1" min="10" max="10"/>
  </cols>
  <sheetData>
    <row r="1">
      <c r="A1" s="1" t="inlineStr">
        <is>
          <t>大类</t>
        </is>
      </c>
      <c r="B1" s="1" t="inlineStr">
        <is>
          <t>菜单项</t>
        </is>
      </c>
      <c r="C1" s="1" t="inlineStr">
        <is>
          <t>对应用例</t>
        </is>
      </c>
      <c r="D1" s="1" t="inlineStr">
        <is>
          <t>用例数</t>
        </is>
      </c>
      <c r="E1" s="1" t="inlineStr">
        <is>
          <t>通过</t>
        </is>
      </c>
      <c r="F1" s="1" t="inlineStr">
        <is>
          <t>不通过</t>
        </is>
      </c>
      <c r="G1" s="1" t="inlineStr">
        <is>
          <t>待测/暂不</t>
        </is>
      </c>
      <c r="H1" s="1" t="inlineStr">
        <is>
          <t>未填</t>
        </is>
      </c>
      <c r="I1" s="1" t="inlineStr">
        <is>
          <t>照片上的权限</t>
        </is>
      </c>
      <c r="J1" s="1" t="inlineStr">
        <is>
          <t>备注</t>
        </is>
      </c>
    </row>
    <row r="2">
      <c r="A2" s="2" t="inlineStr">
        <is>
          <t>查询</t>
        </is>
      </c>
      <c r="B2" s="2" t="inlineStr">
        <is>
          <t>历史记录</t>
        </is>
      </c>
      <c r="C2" s="3" t="inlineStr">
        <is>
          <t>DP-05、DP-06、DP-07、DP-08、DP-09、DP-10…</t>
        </is>
      </c>
      <c r="D2" s="2" t="n">
        <v>15</v>
      </c>
      <c r="E2" s="2" t="n">
        <v>6</v>
      </c>
      <c r="F2" s="2" t="n">
        <v>5</v>
      </c>
      <c r="G2" s="2" t="n">
        <v>1</v>
      </c>
      <c r="H2" s="2" t="n">
        <v>3</v>
      </c>
      <c r="I2" s="2" t="inlineStr">
        <is>
          <t>操作员</t>
        </is>
      </c>
      <c r="J2" s="3" t="inlineStr"/>
    </row>
    <row r="3">
      <c r="A3" s="2" t="inlineStr">
        <is>
          <t>查询</t>
        </is>
      </c>
      <c r="B3" s="2" t="inlineStr">
        <is>
          <t>控制器信息</t>
        </is>
      </c>
      <c r="C3" s="3" t="inlineStr">
        <is>
          <t>UI-02</t>
        </is>
      </c>
      <c r="D3" s="2" t="n">
        <v>1</v>
      </c>
      <c r="E3" s="2" t="n">
        <v>0</v>
      </c>
      <c r="F3" s="2" t="n">
        <v>1</v>
      </c>
      <c r="G3" s="2" t="n">
        <v>0</v>
      </c>
      <c r="H3" s="2" t="n">
        <v>0</v>
      </c>
      <c r="I3" s="2" t="inlineStr">
        <is>
          <t>操作员</t>
        </is>
      </c>
      <c r="J3" s="3" t="inlineStr"/>
    </row>
    <row r="4">
      <c r="A4" s="2" t="inlineStr">
        <is>
          <t>查询</t>
        </is>
      </c>
      <c r="B4" s="2" t="inlineStr">
        <is>
          <t>级联从机</t>
        </is>
      </c>
      <c r="C4" s="3" t="inlineStr">
        <is>
          <t>UI-05、UI-05.1、UI-05.2</t>
        </is>
      </c>
      <c r="D4" s="2" t="n">
        <v>3</v>
      </c>
      <c r="E4" s="2" t="n">
        <v>0</v>
      </c>
      <c r="F4" s="2" t="n">
        <v>2</v>
      </c>
      <c r="G4" s="2" t="n">
        <v>0</v>
      </c>
      <c r="H4" s="2" t="n">
        <v>1</v>
      </c>
      <c r="I4" s="2" t="inlineStr">
        <is>
          <t>操作员</t>
        </is>
      </c>
      <c r="J4" s="3" t="inlineStr"/>
    </row>
    <row r="5">
      <c r="A5" s="2" t="inlineStr">
        <is>
          <t>查询</t>
        </is>
      </c>
      <c r="B5" s="2" t="inlineStr">
        <is>
          <t>设备总览</t>
        </is>
      </c>
      <c r="C5" s="3" t="inlineStr">
        <is>
          <t>UI-03、UI-03.1、UI-03.2、UI-03.3、UI-03.4、UI-03.5…</t>
        </is>
      </c>
      <c r="D5" s="2" t="n">
        <v>7</v>
      </c>
      <c r="E5" s="2" t="n">
        <v>4</v>
      </c>
      <c r="F5" s="2" t="n">
        <v>2</v>
      </c>
      <c r="G5" s="2" t="n">
        <v>0</v>
      </c>
      <c r="H5" s="2" t="n">
        <v>1</v>
      </c>
      <c r="I5" s="2" t="inlineStr">
        <is>
          <t>操作员</t>
        </is>
      </c>
      <c r="J5" s="3" t="inlineStr"/>
    </row>
    <row r="6">
      <c r="A6" s="2" t="inlineStr">
        <is>
          <t>查询</t>
        </is>
      </c>
      <c r="B6" s="2" t="inlineStr">
        <is>
          <t>单点查询</t>
        </is>
      </c>
      <c r="C6" s="3" t="inlineStr">
        <is>
          <t>UI-04、UI-04.1、UI-04.2、UI-04.3、UI-04.4、UI-04.5</t>
        </is>
      </c>
      <c r="D6" s="2" t="n">
        <v>6</v>
      </c>
      <c r="E6" s="2" t="n">
        <v>2</v>
      </c>
      <c r="F6" s="2" t="n">
        <v>1</v>
      </c>
      <c r="G6" s="2" t="n">
        <v>0</v>
      </c>
      <c r="H6" s="2" t="n">
        <v>3</v>
      </c>
      <c r="I6" s="2" t="inlineStr">
        <is>
          <t>操作员</t>
        </is>
      </c>
      <c r="J6" s="3" t="inlineStr"/>
    </row>
    <row r="7">
      <c r="A7" s="2" t="inlineStr">
        <is>
          <t>查询</t>
        </is>
      </c>
      <c r="B7" s="2" t="inlineStr">
        <is>
          <t>检查信息</t>
        </is>
      </c>
      <c r="C7" s="3" t="inlineStr">
        <is>
          <t>CK-01、CK-01.1、CK-01.2、CK-01.3、CK-01.4、CK-02…</t>
        </is>
      </c>
      <c r="D7" s="2" t="n">
        <v>21</v>
      </c>
      <c r="E7" s="2" t="n">
        <v>5</v>
      </c>
      <c r="F7" s="2" t="n">
        <v>0</v>
      </c>
      <c r="G7" s="2" t="n">
        <v>8</v>
      </c>
      <c r="H7" s="2" t="n">
        <v>8</v>
      </c>
      <c r="I7" s="2" t="inlineStr">
        <is>
          <t>操作员</t>
        </is>
      </c>
      <c r="J7" s="3" t="inlineStr"/>
    </row>
    <row r="8">
      <c r="A8" s="2" t="inlineStr">
        <is>
          <t>监控&amp;控制</t>
        </is>
      </c>
      <c r="B8" s="2" t="inlineStr">
        <is>
          <t>节点设备监控</t>
        </is>
      </c>
      <c r="C8" s="3" t="inlineStr">
        <is>
          <t>UI-07、UI-07.1、UI-07.2、UI-07.3、UI-07.4</t>
        </is>
      </c>
      <c r="D8" s="2" t="n">
        <v>5</v>
      </c>
      <c r="E8" s="2" t="n">
        <v>0</v>
      </c>
      <c r="F8" s="2" t="n">
        <v>1</v>
      </c>
      <c r="G8" s="2" t="n">
        <v>1</v>
      </c>
      <c r="H8" s="2" t="n">
        <v>3</v>
      </c>
      <c r="I8" s="2" t="inlineStr">
        <is>
          <t>操作</t>
        </is>
      </c>
      <c r="J8" s="3" t="inlineStr"/>
    </row>
    <row r="9">
      <c r="A9" s="2" t="inlineStr">
        <is>
          <t>监控&amp;控制</t>
        </is>
      </c>
      <c r="B9" s="2" t="inlineStr">
        <is>
          <t>通讯成功率</t>
        </is>
      </c>
      <c r="C9" s="3" t="inlineStr">
        <is>
          <t>UI-08、UI-08.1、UI-08.2、UI-08.3、UI-08.4、UI-08.5</t>
        </is>
      </c>
      <c r="D9" s="2" t="n">
        <v>6</v>
      </c>
      <c r="E9" s="2" t="n">
        <v>1</v>
      </c>
      <c r="F9" s="2" t="n">
        <v>1</v>
      </c>
      <c r="G9" s="2" t="n">
        <v>1</v>
      </c>
      <c r="H9" s="2" t="n">
        <v>3</v>
      </c>
      <c r="I9" s="2" t="inlineStr">
        <is>
          <t>操作</t>
        </is>
      </c>
      <c r="J9" s="3" t="inlineStr"/>
    </row>
    <row r="10">
      <c r="A10" s="2" t="inlineStr">
        <is>
          <t>监控&amp;控制</t>
        </is>
      </c>
      <c r="B10" s="2" t="inlineStr">
        <is>
          <t>机内设备监控</t>
        </is>
      </c>
      <c r="C10" s="3" t="inlineStr">
        <is>
          <t>UI-09、UI-09.1、UI-09.2、UI-09.3、UI-09.4、UI-09.5</t>
        </is>
      </c>
      <c r="D10" s="2" t="n">
        <v>6</v>
      </c>
      <c r="E10" s="2" t="n">
        <v>1</v>
      </c>
      <c r="F10" s="2" t="n">
        <v>0</v>
      </c>
      <c r="G10" s="2" t="n">
        <v>2</v>
      </c>
      <c r="H10" s="2" t="n">
        <v>3</v>
      </c>
      <c r="I10" s="2" t="inlineStr">
        <is>
          <t>操作</t>
        </is>
      </c>
      <c r="J10" s="3" t="inlineStr"/>
    </row>
    <row r="11">
      <c r="A11" s="2" t="inlineStr">
        <is>
          <t>监控&amp;控制</t>
        </is>
      </c>
      <c r="B11" s="2" t="inlineStr">
        <is>
          <t>启停控制</t>
        </is>
      </c>
      <c r="C11" s="3" t="inlineStr">
        <is>
          <t>UI-10、UI-10.1、UI-10.2、UI-10.3、UI-10.4、UI-10.5</t>
        </is>
      </c>
      <c r="D11" s="2" t="n">
        <v>6</v>
      </c>
      <c r="E11" s="2" t="n">
        <v>2</v>
      </c>
      <c r="F11" s="2" t="n">
        <v>1</v>
      </c>
      <c r="G11" s="2" t="n">
        <v>1</v>
      </c>
      <c r="H11" s="2" t="n">
        <v>2</v>
      </c>
      <c r="I11" s="2" t="inlineStr">
        <is>
          <t>操作</t>
        </is>
      </c>
      <c r="J11" s="3" t="inlineStr"/>
    </row>
    <row r="12">
      <c r="A12" s="2" t="inlineStr">
        <is>
          <t>监控&amp;控制</t>
        </is>
      </c>
      <c r="B12" s="2" t="inlineStr">
        <is>
          <t>屏蔽控制</t>
        </is>
      </c>
      <c r="C12" s="3" t="inlineStr">
        <is>
          <t>SH-01、SH-01.1、SH-01.2、SH-01.3、SH-01.4、SH-02…</t>
        </is>
      </c>
      <c r="D12" s="2" t="n">
        <v>26</v>
      </c>
      <c r="E12" s="2" t="n">
        <v>2</v>
      </c>
      <c r="F12" s="2" t="n">
        <v>4</v>
      </c>
      <c r="G12" s="2" t="n">
        <v>1</v>
      </c>
      <c r="H12" s="2" t="n">
        <v>19</v>
      </c>
      <c r="I12" s="2" t="inlineStr">
        <is>
          <t>操作</t>
        </is>
      </c>
      <c r="J12" s="3" t="inlineStr"/>
    </row>
    <row r="13">
      <c r="A13" s="2" t="inlineStr">
        <is>
          <t>设置</t>
        </is>
      </c>
      <c r="B13" s="2" t="inlineStr">
        <is>
          <t>用户登陆</t>
        </is>
      </c>
      <c r="C13" s="3" t="inlineStr">
        <is>
          <t>UI-12、UI-12.1、UI-12.2、UI-12.3</t>
        </is>
      </c>
      <c r="D13" s="2" t="n">
        <v>4</v>
      </c>
      <c r="E13" s="2" t="n">
        <v>4</v>
      </c>
      <c r="F13" s="2" t="n">
        <v>0</v>
      </c>
      <c r="G13" s="2" t="n">
        <v>0</v>
      </c>
      <c r="H13" s="2" t="n">
        <v>0</v>
      </c>
      <c r="I13" s="2" t="inlineStr">
        <is>
          <t>操作</t>
        </is>
      </c>
      <c r="J13" s="3" t="inlineStr"/>
    </row>
    <row r="14">
      <c r="A14" s="2" t="inlineStr">
        <is>
          <t>设置</t>
        </is>
      </c>
      <c r="B14" s="2" t="inlineStr">
        <is>
          <t>基础设置</t>
        </is>
      </c>
      <c r="C14" s="3" t="inlineStr">
        <is>
          <t>UI-14、UI-14.1、UI-14.2、UI-14.3、UI-14.4、UI-14.5…</t>
        </is>
      </c>
      <c r="D14" s="2" t="n">
        <v>9</v>
      </c>
      <c r="E14" s="2" t="n">
        <v>1</v>
      </c>
      <c r="F14" s="2" t="n">
        <v>3</v>
      </c>
      <c r="G14" s="2" t="n">
        <v>1</v>
      </c>
      <c r="H14" s="2" t="n">
        <v>4</v>
      </c>
      <c r="I14" s="2" t="inlineStr">
        <is>
          <t>操作</t>
        </is>
      </c>
      <c r="J14" s="3" t="inlineStr"/>
    </row>
    <row r="15">
      <c r="A15" s="2" t="inlineStr">
        <is>
          <t>设置</t>
        </is>
      </c>
      <c r="B15" s="2" t="inlineStr">
        <is>
          <t>密码设置</t>
        </is>
      </c>
      <c r="C15" s="3" t="inlineStr">
        <is>
          <t>UI-13、UI-13.1、UI-13.2、UI-13.3、UI-13.4、UI-13.5</t>
        </is>
      </c>
      <c r="D15" s="2" t="n">
        <v>6</v>
      </c>
      <c r="E15" s="2" t="n">
        <v>3</v>
      </c>
      <c r="F15" s="2" t="n">
        <v>1</v>
      </c>
      <c r="G15" s="2" t="n">
        <v>0</v>
      </c>
      <c r="H15" s="2" t="n">
        <v>2</v>
      </c>
      <c r="I15" s="2" t="inlineStr">
        <is>
          <t>操作</t>
        </is>
      </c>
      <c r="J15" s="13" t="inlineStr">
        <is>
          <t>⚠️ 改 Ⅲ 级密码按 OP-02.2 应拒绝 Ⅱ 级；菜单标「操作」级需核</t>
        </is>
      </c>
    </row>
    <row r="16">
      <c r="A16" s="2" t="inlineStr">
        <is>
          <t>设置</t>
        </is>
      </c>
      <c r="B16" s="2" t="inlineStr">
        <is>
          <t>联网设置</t>
        </is>
      </c>
      <c r="C16" s="3" t="inlineStr">
        <is>
          <t>UI-15、UI-15.1、UI-15.2</t>
        </is>
      </c>
      <c r="D16" s="2" t="n">
        <v>3</v>
      </c>
      <c r="E16" s="2" t="n">
        <v>0</v>
      </c>
      <c r="F16" s="2" t="n">
        <v>0</v>
      </c>
      <c r="G16" s="2" t="n">
        <v>3</v>
      </c>
      <c r="H16" s="2" t="n">
        <v>0</v>
      </c>
      <c r="I16" s="2" t="inlineStr">
        <is>
          <t>操作</t>
        </is>
      </c>
      <c r="J16" s="13" t="inlineStr">
        <is>
          <t>⚠️ 参数修改属「输入/更改数据」，OP-02.2 要求 Ⅱ 级拒绝</t>
        </is>
      </c>
    </row>
    <row r="17">
      <c r="A17" s="2" t="inlineStr">
        <is>
          <t>设置</t>
        </is>
      </c>
      <c r="B17" s="2" t="inlineStr">
        <is>
          <t>节点设置</t>
        </is>
      </c>
      <c r="C17" s="3" t="inlineStr">
        <is>
          <t>UI-16、UI-16.1、UI-16.2</t>
        </is>
      </c>
      <c r="D17" s="2" t="n">
        <v>3</v>
      </c>
      <c r="E17" s="2" t="n">
        <v>0</v>
      </c>
      <c r="F17" s="2" t="n">
        <v>1</v>
      </c>
      <c r="G17" s="2" t="n">
        <v>0</v>
      </c>
      <c r="H17" s="2" t="n">
        <v>2</v>
      </c>
      <c r="I17" s="2" t="inlineStr">
        <is>
          <t>操作</t>
        </is>
      </c>
      <c r="J17" s="13" t="inlineStr">
        <is>
          <t>⚠️ 点表编辑属「数据修改」，OP-03.1 要求 Ⅲ 级；菜单标「操作」级需核</t>
        </is>
      </c>
    </row>
    <row r="18">
      <c r="A18" s="2" t="inlineStr">
        <is>
          <t>设置</t>
        </is>
      </c>
      <c r="B18" s="2" t="inlineStr">
        <is>
          <t>操作模式设置</t>
        </is>
      </c>
      <c r="C18" s="3" t="inlineStr">
        <is>
          <t>UI-17、UI-17.1、UI-17.2、UI-17.3</t>
        </is>
      </c>
      <c r="D18" s="2" t="n">
        <v>4</v>
      </c>
      <c r="E18" s="2" t="n">
        <v>1</v>
      </c>
      <c r="F18" s="2" t="n">
        <v>2</v>
      </c>
      <c r="G18" s="2" t="n">
        <v>1</v>
      </c>
      <c r="H18" s="2" t="n">
        <v>0</v>
      </c>
      <c r="I18" s="2" t="inlineStr">
        <is>
          <t>操作</t>
        </is>
      </c>
      <c r="J18" s="3" t="inlineStr"/>
    </row>
    <row r="19">
      <c r="A19" s="2" t="inlineStr">
        <is>
          <t>调试</t>
        </is>
      </c>
      <c r="B19" s="2" t="inlineStr">
        <is>
          <t>点位注册</t>
        </is>
      </c>
      <c r="C19" s="3" t="inlineStr">
        <is>
          <t>UI-18、UI-18.1、UI-18.2、UI-18.3、UI-18.4、UI-18.5</t>
        </is>
      </c>
      <c r="D19" s="2" t="n">
        <v>6</v>
      </c>
      <c r="E19" s="2" t="n">
        <v>2</v>
      </c>
      <c r="F19" s="2" t="n">
        <v>2</v>
      </c>
      <c r="G19" s="2" t="n">
        <v>1</v>
      </c>
      <c r="H19" s="2" t="n">
        <v>1</v>
      </c>
      <c r="I19" s="2" t="inlineStr">
        <is>
          <t>调试员</t>
        </is>
      </c>
      <c r="J19" s="3" t="inlineStr"/>
    </row>
    <row r="20">
      <c r="A20" s="2" t="inlineStr">
        <is>
          <t>调试</t>
        </is>
      </c>
      <c r="B20" s="2" t="inlineStr">
        <is>
          <t>配置导入</t>
        </is>
      </c>
      <c r="C20" s="3" t="inlineStr">
        <is>
          <t>UI-19、UI-19.1、UI-19.2、UI-19.3</t>
        </is>
      </c>
      <c r="D20" s="2" t="n">
        <v>4</v>
      </c>
      <c r="E20" s="2" t="n">
        <v>0</v>
      </c>
      <c r="F20" s="2" t="n">
        <v>1</v>
      </c>
      <c r="G20" s="2" t="n">
        <v>0</v>
      </c>
      <c r="H20" s="2" t="n">
        <v>3</v>
      </c>
      <c r="I20" s="2" t="inlineStr">
        <is>
          <t>调试员</t>
        </is>
      </c>
      <c r="J20" s="3" t="inlineStr"/>
    </row>
    <row r="21">
      <c r="A21" s="2" t="inlineStr">
        <is>
          <t>调试</t>
        </is>
      </c>
      <c r="B21" s="2" t="inlineStr">
        <is>
          <t>联动编程</t>
        </is>
      </c>
      <c r="C21" s="3" t="inlineStr">
        <is>
          <t>UI-20、UI-20.1、UI-20.2</t>
        </is>
      </c>
      <c r="D21" s="2" t="n">
        <v>3</v>
      </c>
      <c r="E21" s="2" t="n">
        <v>0</v>
      </c>
      <c r="F21" s="2" t="n">
        <v>1</v>
      </c>
      <c r="G21" s="2" t="n">
        <v>0</v>
      </c>
      <c r="H21" s="2" t="n">
        <v>2</v>
      </c>
      <c r="I21" s="2" t="inlineStr">
        <is>
          <t>调试员</t>
        </is>
      </c>
      <c r="J21" s="3" t="inlineStr"/>
    </row>
    <row r="22">
      <c r="A22" s="2" t="inlineStr">
        <is>
          <t>调试</t>
        </is>
      </c>
      <c r="B22" s="2" t="inlineStr">
        <is>
          <t>调试助手</t>
        </is>
      </c>
      <c r="C22" s="3" t="inlineStr">
        <is>
          <t>UI-21、UI-21.1、UI-21.2、UI-21.3、UI-21.4</t>
        </is>
      </c>
      <c r="D22" s="2" t="n">
        <v>5</v>
      </c>
      <c r="E22" s="2" t="n">
        <v>0</v>
      </c>
      <c r="F22" s="2" t="n">
        <v>0</v>
      </c>
      <c r="G22" s="2" t="n">
        <v>0</v>
      </c>
      <c r="H22" s="2" t="n">
        <v>5</v>
      </c>
      <c r="I22" s="2" t="inlineStr">
        <is>
          <t>调试员</t>
        </is>
      </c>
      <c r="J22" s="3" t="inlineStr"/>
    </row>
    <row r="23">
      <c r="A23" s="2" t="inlineStr">
        <is>
          <t>调试</t>
        </is>
      </c>
      <c r="B23" s="2" t="inlineStr">
        <is>
          <t>联网注册</t>
        </is>
      </c>
      <c r="C23" s="3" t="inlineStr">
        <is>
          <t>UI-22</t>
        </is>
      </c>
      <c r="D23" s="2" t="n">
        <v>1</v>
      </c>
      <c r="E23" s="2" t="n">
        <v>0</v>
      </c>
      <c r="F23" s="2" t="n">
        <v>0</v>
      </c>
      <c r="G23" s="2" t="n">
        <v>1</v>
      </c>
      <c r="H23" s="2" t="n">
        <v>0</v>
      </c>
      <c r="I23" s="2" t="inlineStr">
        <is>
          <t>调试员</t>
        </is>
      </c>
      <c r="J23" s="3" t="inlineStr"/>
    </row>
    <row r="24">
      <c r="A24" s="2" t="inlineStr">
        <is>
          <t>调试</t>
        </is>
      </c>
      <c r="B24" s="2" t="inlineStr">
        <is>
          <t>直控调试</t>
        </is>
      </c>
      <c r="C24" s="3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inlineStr">
        <is>
          <t>调试员</t>
        </is>
      </c>
      <c r="J24" s="13" t="inlineStr">
        <is>
          <t>⚠️ 与「调试助手」共用 UI-21，菜单上是两个独立入口，建议拆为 UI-21.1/.2</t>
        </is>
      </c>
    </row>
    <row r="25">
      <c r="A25" s="2" t="inlineStr">
        <is>
          <t>维护</t>
        </is>
      </c>
      <c r="B25" s="2" t="inlineStr">
        <is>
          <t>固件升级</t>
        </is>
      </c>
      <c r="C25" s="3" t="inlineStr">
        <is>
          <t>UI-23、UI-23.1、UI-23.2、UI-23.3</t>
        </is>
      </c>
      <c r="D25" s="2" t="n">
        <v>4</v>
      </c>
      <c r="E25" s="2" t="n">
        <v>0</v>
      </c>
      <c r="F25" s="2" t="n">
        <v>0</v>
      </c>
      <c r="G25" s="2" t="n">
        <v>0</v>
      </c>
      <c r="H25" s="2" t="n">
        <v>4</v>
      </c>
      <c r="I25" s="2" t="inlineStr">
        <is>
          <t>生产商</t>
        </is>
      </c>
      <c r="J25" s="3" t="inlineStr"/>
    </row>
    <row r="26">
      <c r="A26" s="2" t="inlineStr">
        <is>
          <t>维护</t>
        </is>
      </c>
      <c r="B26" s="2" t="inlineStr">
        <is>
          <t>记录导出</t>
        </is>
      </c>
      <c r="C26" s="3" t="inlineStr">
        <is>
          <t>UI-24、UI-24.1、UI-24.2、UI-24.3</t>
        </is>
      </c>
      <c r="D26" s="2" t="n">
        <v>4</v>
      </c>
      <c r="E26" s="2" t="n">
        <v>0</v>
      </c>
      <c r="F26" s="2" t="n">
        <v>0</v>
      </c>
      <c r="G26" s="2" t="n">
        <v>0</v>
      </c>
      <c r="H26" s="2" t="n">
        <v>4</v>
      </c>
      <c r="I26" s="2" t="inlineStr">
        <is>
          <t>生产商</t>
        </is>
      </c>
      <c r="J26" s="3" t="inlineStr"/>
    </row>
    <row r="27">
      <c r="A27" s="2" t="inlineStr">
        <is>
          <t>维护</t>
        </is>
      </c>
      <c r="B27" s="2" t="inlineStr">
        <is>
          <t>恢复出厂设置</t>
        </is>
      </c>
      <c r="C27" s="3" t="inlineStr">
        <is>
          <t>UI-25、UI-25.1、UI-25.2、UI-25.3、UI-25.4</t>
        </is>
      </c>
      <c r="D27" s="2" t="n">
        <v>5</v>
      </c>
      <c r="E27" s="2" t="n">
        <v>0</v>
      </c>
      <c r="F27" s="2" t="n">
        <v>0</v>
      </c>
      <c r="G27" s="2" t="n">
        <v>0</v>
      </c>
      <c r="H27" s="2" t="n">
        <v>5</v>
      </c>
      <c r="I27" s="2" t="inlineStr">
        <is>
          <t>生产商</t>
        </is>
      </c>
      <c r="J27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>
        <f>COUNTA(测试执行表!$B$2:$B$606)</f>
        <v/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2" t="inlineStr">
        <is>
          <t>分组</t>
        </is>
      </c>
      <c r="B1" s="12" t="inlineStr">
        <is>
          <t>用例数</t>
        </is>
      </c>
      <c r="C1" s="12" t="inlineStr">
        <is>
          <t>通过</t>
        </is>
      </c>
      <c r="D1" s="12" t="inlineStr">
        <is>
          <t>不通过</t>
        </is>
      </c>
      <c r="E1" s="12" t="inlineStr">
        <is>
          <t>待测/暂不</t>
        </is>
      </c>
      <c r="F1" s="12" t="inlineStr">
        <is>
          <t>未填</t>
        </is>
      </c>
    </row>
    <row r="2">
      <c r="A2" s="2" t="inlineStr">
        <is>
          <t>火灾报警</t>
        </is>
      </c>
      <c r="B2" s="2">
        <f>COUNTIF(测试执行表!$C$2:$C$606,$A2)</f>
        <v/>
      </c>
      <c r="C2" s="2">
        <f>COUNTIFS(测试执行表!$C$2:$C$606,$A2,测试执行表!$J$2:$J$606,"通过")</f>
        <v/>
      </c>
      <c r="D2" s="2">
        <f>COUNTIFS(测试执行表!$C$2:$C$606,$A2,测试执行表!$J$2:$J$606,"不通过")</f>
        <v/>
      </c>
      <c r="E2" s="2">
        <f>COUNTIFS(测试执行表!$C$2:$C$606,$A2,测试执行表!$J$2:$J$606,"待测")+COUNTIFS(测试执行表!$C$2:$C$606,$A2,测试执行表!$J$2:$J$606,"暂不测试")</f>
        <v/>
      </c>
      <c r="F2" s="2">
        <f>$B2-COUNTIFS(测试执行表!$C$2:$C$606,$A2,测试执行表!$J$2:$J$606,"&lt;&gt;")</f>
        <v/>
      </c>
    </row>
    <row r="3">
      <c r="A3" s="2" t="inlineStr">
        <is>
          <t>报警控制(联动输出)</t>
        </is>
      </c>
      <c r="B3" s="2">
        <f>COUNTIF(测试执行表!$C$2:$C$606,$A3)</f>
        <v/>
      </c>
      <c r="C3" s="2">
        <f>COUNTIFS(测试执行表!$C$2:$C$606,$A3,测试执行表!$J$2:$J$606,"通过")</f>
        <v/>
      </c>
      <c r="D3" s="2">
        <f>COUNTIFS(测试执行表!$C$2:$C$606,$A3,测试执行表!$J$2:$J$606,"不通过")</f>
        <v/>
      </c>
      <c r="E3" s="2">
        <f>COUNTIFS(测试执行表!$C$2:$C$606,$A3,测试执行表!$J$2:$J$606,"待测")+COUNTIFS(测试执行表!$C$2:$C$606,$A3,测试执行表!$J$2:$J$606,"暂不测试")</f>
        <v/>
      </c>
      <c r="F3" s="2">
        <f>$B3-COUNTIFS(测试执行表!$C$2:$C$606,$A3,测试执行表!$J$2:$J$606,"&lt;&gt;")</f>
        <v/>
      </c>
    </row>
    <row r="4">
      <c r="A4" s="2" t="inlineStr">
        <is>
          <t>故障报警</t>
        </is>
      </c>
      <c r="B4" s="2">
        <f>COUNTIF(测试执行表!$C$2:$C$606,$A4)</f>
        <v/>
      </c>
      <c r="C4" s="2">
        <f>COUNTIFS(测试执行表!$C$2:$C$606,$A4,测试执行表!$J$2:$J$606,"通过")</f>
        <v/>
      </c>
      <c r="D4" s="2">
        <f>COUNTIFS(测试执行表!$C$2:$C$606,$A4,测试执行表!$J$2:$J$606,"不通过")</f>
        <v/>
      </c>
      <c r="E4" s="2">
        <f>COUNTIFS(测试执行表!$C$2:$C$606,$A4,测试执行表!$J$2:$J$606,"待测")+COUNTIFS(测试执行表!$C$2:$C$606,$A4,测试执行表!$J$2:$J$606,"暂不测试")</f>
        <v/>
      </c>
      <c r="F4" s="2">
        <f>$B4-COUNTIFS(测试执行表!$C$2:$C$606,$A4,测试执行表!$J$2:$J$606,"&lt;&gt;")</f>
        <v/>
      </c>
    </row>
    <row r="5">
      <c r="A5" s="2" t="inlineStr">
        <is>
          <t>屏蔽</t>
        </is>
      </c>
      <c r="B5" s="2">
        <f>COUNTIF(测试执行表!$C$2:$C$606,$A5)</f>
        <v/>
      </c>
      <c r="C5" s="2">
        <f>COUNTIFS(测试执行表!$C$2:$C$606,$A5,测试执行表!$J$2:$J$606,"通过")</f>
        <v/>
      </c>
      <c r="D5" s="2">
        <f>COUNTIFS(测试执行表!$C$2:$C$606,$A5,测试执行表!$J$2:$J$606,"不通过")</f>
        <v/>
      </c>
      <c r="E5" s="2">
        <f>COUNTIFS(测试执行表!$C$2:$C$606,$A5,测试执行表!$J$2:$J$606,"待测")+COUNTIFS(测试执行表!$C$2:$C$606,$A5,测试执行表!$J$2:$J$606,"暂不测试")</f>
        <v/>
      </c>
      <c r="F5" s="2">
        <f>$B5-COUNTIFS(测试执行表!$C$2:$C$606,$A5,测试执行表!$J$2:$J$606,"&lt;&gt;")</f>
        <v/>
      </c>
    </row>
    <row r="6">
      <c r="A6" s="2" t="inlineStr">
        <is>
          <t>监管报警</t>
        </is>
      </c>
      <c r="B6" s="2">
        <f>COUNTIF(测试执行表!$C$2:$C$606,$A6)</f>
        <v/>
      </c>
      <c r="C6" s="2">
        <f>COUNTIFS(测试执行表!$C$2:$C$606,$A6,测试执行表!$J$2:$J$606,"通过")</f>
        <v/>
      </c>
      <c r="D6" s="2">
        <f>COUNTIFS(测试执行表!$C$2:$C$606,$A6,测试执行表!$J$2:$J$606,"不通过")</f>
        <v/>
      </c>
      <c r="E6" s="2">
        <f>COUNTIFS(测试执行表!$C$2:$C$606,$A6,测试执行表!$J$2:$J$606,"待测")+COUNTIFS(测试执行表!$C$2:$C$606,$A6,测试执行表!$J$2:$J$606,"暂不测试")</f>
        <v/>
      </c>
      <c r="F6" s="2">
        <f>$B6-COUNTIFS(测试执行表!$C$2:$C$606,$A6,测试执行表!$J$2:$J$606,"&lt;&gt;")</f>
        <v/>
      </c>
    </row>
    <row r="7">
      <c r="A7" s="2" t="inlineStr">
        <is>
          <t>自检</t>
        </is>
      </c>
      <c r="B7" s="2">
        <f>COUNTIF(测试执行表!$C$2:$C$606,$A7)</f>
        <v/>
      </c>
      <c r="C7" s="2">
        <f>COUNTIFS(测试执行表!$C$2:$C$606,$A7,测试执行表!$J$2:$J$606,"通过")</f>
        <v/>
      </c>
      <c r="D7" s="2">
        <f>COUNTIFS(测试执行表!$C$2:$C$606,$A7,测试执行表!$J$2:$J$606,"不通过")</f>
        <v/>
      </c>
      <c r="E7" s="2">
        <f>COUNTIFS(测试执行表!$C$2:$C$606,$A7,测试执行表!$J$2:$J$606,"待测")+COUNTIFS(测试执行表!$C$2:$C$606,$A7,测试执行表!$J$2:$J$606,"暂不测试")</f>
        <v/>
      </c>
      <c r="F7" s="2">
        <f>$B7-COUNTIFS(测试执行表!$C$2:$C$606,$A7,测试执行表!$J$2:$J$606,"&lt;&gt;")</f>
        <v/>
      </c>
    </row>
    <row r="8">
      <c r="A8" s="2" t="inlineStr">
        <is>
          <t>显示与查询</t>
        </is>
      </c>
      <c r="B8" s="2">
        <f>COUNTIF(测试执行表!$C$2:$C$606,$A8)</f>
        <v/>
      </c>
      <c r="C8" s="2">
        <f>COUNTIFS(测试执行表!$C$2:$C$606,$A8,测试执行表!$J$2:$J$606,"通过")</f>
        <v/>
      </c>
      <c r="D8" s="2">
        <f>COUNTIFS(测试执行表!$C$2:$C$606,$A8,测试执行表!$J$2:$J$606,"不通过")</f>
        <v/>
      </c>
      <c r="E8" s="2">
        <f>COUNTIFS(测试执行表!$C$2:$C$606,$A8,测试执行表!$J$2:$J$606,"待测")+COUNTIFS(测试执行表!$C$2:$C$606,$A8,测试执行表!$J$2:$J$606,"暂不测试")</f>
        <v/>
      </c>
      <c r="F8" s="2">
        <f>$B8-COUNTIFS(测试执行表!$C$2:$C$606,$A8,测试执行表!$J$2:$J$606,"&lt;&gt;")</f>
        <v/>
      </c>
    </row>
    <row r="9">
      <c r="A9" s="2" t="inlineStr">
        <is>
          <t>检查功能</t>
        </is>
      </c>
      <c r="B9" s="2">
        <f>COUNTIF(测试执行表!$C$2:$C$606,$A9)</f>
        <v/>
      </c>
      <c r="C9" s="2">
        <f>COUNTIFS(测试执行表!$C$2:$C$606,$A9,测试执行表!$J$2:$J$606,"通过")</f>
        <v/>
      </c>
      <c r="D9" s="2">
        <f>COUNTIFS(测试执行表!$C$2:$C$606,$A9,测试执行表!$J$2:$J$606,"不通过")</f>
        <v/>
      </c>
      <c r="E9" s="2">
        <f>COUNTIFS(测试执行表!$C$2:$C$606,$A9,测试执行表!$J$2:$J$606,"待测")+COUNTIFS(测试执行表!$C$2:$C$606,$A9,测试执行表!$J$2:$J$606,"暂不测试")</f>
        <v/>
      </c>
      <c r="F9" s="2">
        <f>$B9-COUNTIFS(测试执行表!$C$2:$C$606,$A9,测试执行表!$J$2:$J$606,"&lt;&gt;")</f>
        <v/>
      </c>
    </row>
    <row r="10">
      <c r="A10" s="2" t="inlineStr">
        <is>
          <t>电源</t>
        </is>
      </c>
      <c r="B10" s="2">
        <f>COUNTIF(测试执行表!$C$2:$C$606,$A10)</f>
        <v/>
      </c>
      <c r="C10" s="2">
        <f>COUNTIFS(测试执行表!$C$2:$C$606,$A10,测试执行表!$J$2:$J$606,"通过")</f>
        <v/>
      </c>
      <c r="D10" s="2">
        <f>COUNTIFS(测试执行表!$C$2:$C$606,$A10,测试执行表!$J$2:$J$606,"不通过")</f>
        <v/>
      </c>
      <c r="E10" s="2">
        <f>COUNTIFS(测试执行表!$C$2:$C$606,$A10,测试执行表!$J$2:$J$606,"待测")+COUNTIFS(测试执行表!$C$2:$C$606,$A10,测试执行表!$J$2:$J$606,"暂不测试")</f>
        <v/>
      </c>
      <c r="F10" s="2">
        <f>$B10-COUNTIFS(测试执行表!$C$2:$C$606,$A10,测试执行表!$J$2:$J$606,"&lt;&gt;")</f>
        <v/>
      </c>
    </row>
    <row r="11">
      <c r="A11" s="2" t="inlineStr">
        <is>
          <t>看门狗</t>
        </is>
      </c>
      <c r="B11" s="2">
        <f>COUNTIF(测试执行表!$C$2:$C$606,$A11)</f>
        <v/>
      </c>
      <c r="C11" s="2">
        <f>COUNTIFS(测试执行表!$C$2:$C$606,$A11,测试执行表!$J$2:$J$606,"通过")</f>
        <v/>
      </c>
      <c r="D11" s="2">
        <f>COUNTIFS(测试执行表!$C$2:$C$606,$A11,测试执行表!$J$2:$J$606,"不通过")</f>
        <v/>
      </c>
      <c r="E11" s="2">
        <f>COUNTIFS(测试执行表!$C$2:$C$606,$A11,测试执行表!$J$2:$J$606,"待测")+COUNTIFS(测试执行表!$C$2:$C$606,$A11,测试执行表!$J$2:$J$606,"暂不测试")</f>
        <v/>
      </c>
      <c r="F11" s="2">
        <f>$B11-COUNTIFS(测试执行表!$C$2:$C$606,$A11,测试执行表!$J$2:$J$606,"&lt;&gt;")</f>
        <v/>
      </c>
    </row>
    <row r="12">
      <c r="A12" s="2" t="inlineStr">
        <is>
          <t>通信</t>
        </is>
      </c>
      <c r="B12" s="2">
        <f>COUNTIF(测试执行表!$C$2:$C$606,$A12)</f>
        <v/>
      </c>
      <c r="C12" s="2">
        <f>COUNTIFS(测试执行表!$C$2:$C$606,$A12,测试执行表!$J$2:$J$606,"通过")</f>
        <v/>
      </c>
      <c r="D12" s="2">
        <f>COUNTIFS(测试执行表!$C$2:$C$606,$A12,测试执行表!$J$2:$J$606,"不通过")</f>
        <v/>
      </c>
      <c r="E12" s="2">
        <f>COUNTIFS(测试执行表!$C$2:$C$606,$A12,测试执行表!$J$2:$J$606,"待测")+COUNTIFS(测试执行表!$C$2:$C$606,$A12,测试执行表!$J$2:$J$606,"暂不测试")</f>
        <v/>
      </c>
      <c r="F12" s="2">
        <f>$B12-COUNTIFS(测试执行表!$C$2:$C$606,$A12,测试执行表!$J$2:$J$606,"&lt;&gt;")</f>
        <v/>
      </c>
    </row>
    <row r="13">
      <c r="A13" s="2" t="inlineStr">
        <is>
          <t>存储单元(黑匣子)</t>
        </is>
      </c>
      <c r="B13" s="2">
        <f>COUNTIF(测试执行表!$C$2:$C$606,$A13)</f>
        <v/>
      </c>
      <c r="C13" s="2">
        <f>COUNTIFS(测试执行表!$C$2:$C$606,$A13,测试执行表!$J$2:$J$606,"通过")</f>
        <v/>
      </c>
      <c r="D13" s="2">
        <f>COUNTIFS(测试执行表!$C$2:$C$606,$A13,测试执行表!$J$2:$J$606,"不通过")</f>
        <v/>
      </c>
      <c r="E13" s="2">
        <f>COUNTIFS(测试执行表!$C$2:$C$606,$A13,测试执行表!$J$2:$J$606,"待测")+COUNTIFS(测试执行表!$C$2:$C$606,$A13,测试执行表!$J$2:$J$606,"暂不测试")</f>
        <v/>
      </c>
      <c r="F13" s="2">
        <f>$B13-COUNTIFS(测试执行表!$C$2:$C$606,$A13,测试执行表!$J$2:$J$606,"&lt;&gt;")</f>
        <v/>
      </c>
    </row>
    <row r="14">
      <c r="A14" s="2" t="inlineStr">
        <is>
          <t>操作级别</t>
        </is>
      </c>
      <c r="B14" s="2">
        <f>COUNTIF(测试执行表!$C$2:$C$606,$A14)</f>
        <v/>
      </c>
      <c r="C14" s="2">
        <f>COUNTIFS(测试执行表!$C$2:$C$606,$A14,测试执行表!$J$2:$J$606,"通过")</f>
        <v/>
      </c>
      <c r="D14" s="2">
        <f>COUNTIFS(测试执行表!$C$2:$C$606,$A14,测试执行表!$J$2:$J$606,"不通过")</f>
        <v/>
      </c>
      <c r="E14" s="2">
        <f>COUNTIFS(测试执行表!$C$2:$C$606,$A14,测试执行表!$J$2:$J$606,"待测")+COUNTIFS(测试执行表!$C$2:$C$606,$A14,测试执行表!$J$2:$J$606,"暂不测试")</f>
        <v/>
      </c>
      <c r="F14" s="2">
        <f>$B14-COUNTIFS(测试执行表!$C$2:$C$606,$A14,测试执行表!$J$2:$J$606,"&lt;&gt;")</f>
        <v/>
      </c>
    </row>
    <row r="15">
      <c r="A15" s="2" t="inlineStr">
        <is>
          <t>人机菜单(产品级)</t>
        </is>
      </c>
      <c r="B15" s="2">
        <f>COUNTIF(测试执行表!$C$2:$C$606,$A15)</f>
        <v/>
      </c>
      <c r="C15" s="2">
        <f>COUNTIFS(测试执行表!$C$2:$C$606,$A15,测试执行表!$J$2:$J$606,"通过")</f>
        <v/>
      </c>
      <c r="D15" s="2">
        <f>COUNTIFS(测试执行表!$C$2:$C$606,$A15,测试执行表!$J$2:$J$606,"不通过")</f>
        <v/>
      </c>
      <c r="E15" s="2">
        <f>COUNTIFS(测试执行表!$C$2:$C$606,$A15,测试执行表!$J$2:$J$606,"待测")+COUNTIFS(测试执行表!$C$2:$C$606,$A15,测试执行表!$J$2:$J$606,"暂不测试")</f>
        <v/>
      </c>
      <c r="F15" s="2">
        <f>$B15-COUNTIFS(测试执行表!$C$2:$C$606,$A15,测试执行表!$J$2:$J$606,"&lt;&gt;")</f>
        <v/>
      </c>
    </row>
    <row r="16">
      <c r="A16" s="2" t="inlineStr">
        <is>
          <t>气体灭火控制器</t>
        </is>
      </c>
      <c r="B16" s="2">
        <f>COUNTIF(测试执行表!$C$2:$C$606,$A16)</f>
        <v/>
      </c>
      <c r="C16" s="2">
        <f>COUNTIFS(测试执行表!$C$2:$C$606,$A16,测试执行表!$J$2:$J$606,"通过")</f>
        <v/>
      </c>
      <c r="D16" s="2">
        <f>COUNTIFS(测试执行表!$C$2:$C$606,$A16,测试执行表!$J$2:$J$606,"不通过")</f>
        <v/>
      </c>
      <c r="E16" s="2">
        <f>COUNTIFS(测试执行表!$C$2:$C$606,$A16,测试执行表!$J$2:$J$606,"待测")+COUNTIFS(测试执行表!$C$2:$C$606,$A16,测试执行表!$J$2:$J$606,"暂不测试")</f>
        <v/>
      </c>
      <c r="F16" s="2">
        <f>$B16-COUNTIFS(测试执行表!$C$2:$C$606,$A16,测试执行表!$J$2:$J$606,"&lt;&gt;")</f>
        <v/>
      </c>
    </row>
    <row r="17">
      <c r="A17" s="2" t="inlineStr">
        <is>
          <t>结构与外观</t>
        </is>
      </c>
      <c r="B17" s="2">
        <f>COUNTIF(测试执行表!$C$2:$C$606,$A17)</f>
        <v/>
      </c>
      <c r="C17" s="2">
        <f>COUNTIFS(测试执行表!$C$2:$C$606,$A17,测试执行表!$J$2:$J$606,"通过")</f>
        <v/>
      </c>
      <c r="D17" s="2">
        <f>COUNTIFS(测试执行表!$C$2:$C$606,$A17,测试执行表!$J$2:$J$606,"不通过")</f>
        <v/>
      </c>
      <c r="E17" s="2">
        <f>COUNTIFS(测试执行表!$C$2:$C$606,$A17,测试执行表!$J$2:$J$606,"待测")+COUNTIFS(测试执行表!$C$2:$C$606,$A17,测试执行表!$J$2:$J$606,"暂不测试")</f>
        <v/>
      </c>
      <c r="F17" s="2">
        <f>$B17-COUNTIFS(测试执行表!$C$2:$C$606,$A17,测试执行表!$J$2:$J$606,"&lt;&gt;")</f>
        <v/>
      </c>
    </row>
    <row r="18">
      <c r="A18" s="2" t="inlineStr">
        <is>
          <t>型式试验</t>
        </is>
      </c>
      <c r="B18" s="2">
        <f>COUNTIF(测试执行表!$C$2:$C$606,$A18)</f>
        <v/>
      </c>
      <c r="C18" s="2">
        <f>COUNTIFS(测试执行表!$C$2:$C$606,$A18,测试执行表!$J$2:$J$606,"通过")</f>
        <v/>
      </c>
      <c r="D18" s="2">
        <f>COUNTIFS(测试执行表!$C$2:$C$606,$A18,测试执行表!$J$2:$J$606,"不通过")</f>
        <v/>
      </c>
      <c r="E18" s="2">
        <f>COUNTIFS(测试执行表!$C$2:$C$606,$A18,测试执行表!$J$2:$J$606,"待测")+COUNTIFS(测试执行表!$C$2:$C$606,$A18,测试执行表!$J$2:$J$606,"暂不测试")</f>
        <v/>
      </c>
      <c r="F18" s="2">
        <f>$B18-COUNTIFS(测试执行表!$C$2:$C$606,$A18,测试执行表!$J$2:$J$606,"&lt;&gt;")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5" customWidth="1" min="4" max="4"/>
    <col width="66" customWidth="1" min="5" max="5"/>
    <col width="18" customWidth="1" min="6" max="6"/>
  </cols>
  <sheetData>
    <row r="1">
      <c r="A1" s="1" t="inlineStr">
        <is>
          <t>用例号</t>
        </is>
      </c>
      <c r="B1" s="1" t="inlineStr">
        <is>
          <t>菜单归属</t>
        </is>
      </c>
      <c r="C1" s="1" t="inlineStr">
        <is>
          <t>名称</t>
        </is>
      </c>
      <c r="D1" s="1" t="inlineStr">
        <is>
          <t>级</t>
        </is>
      </c>
      <c r="E1" s="1" t="inlineStr">
        <is>
          <t>实测结果</t>
        </is>
      </c>
      <c r="F1" s="1" t="inlineStr">
        <is>
          <t>疑似同源缺陷</t>
        </is>
      </c>
    </row>
    <row r="2">
      <c r="A2" s="2" t="inlineStr">
        <is>
          <t>FA-04</t>
        </is>
      </c>
      <c r="B2" s="2" t="n"/>
      <c r="C2" s="2" t="n"/>
      <c r="D2" s="2" t="inlineStr">
        <is>
          <t>可选</t>
        </is>
      </c>
      <c r="E2" s="3" t="inlineStr">
        <is>
          <t>报警延时功能未设置（未实现）</t>
        </is>
      </c>
      <c r="F2" s="3" t="inlineStr"/>
    </row>
    <row r="3">
      <c r="A3" s="2" t="inlineStr">
        <is>
          <t>FA-04.1</t>
        </is>
      </c>
      <c r="B3" s="2" t="n"/>
      <c r="C3" s="2" t="inlineStr">
        <is>
          <t>最大延时</t>
        </is>
      </c>
      <c r="D3" s="2" t="inlineStr">
        <is>
          <t>可选</t>
        </is>
      </c>
      <c r="E3" s="3" t="inlineStr">
        <is>
          <t>同 FA-04</t>
        </is>
      </c>
      <c r="F3" s="3" t="inlineStr"/>
    </row>
    <row r="4">
      <c r="A4" s="2" t="inlineStr">
        <is>
          <t>FA-04.2</t>
        </is>
      </c>
      <c r="B4" s="2" t="n"/>
      <c r="C4" s="2" t="inlineStr">
        <is>
          <t>延时光指示</t>
        </is>
      </c>
      <c r="D4" s="2" t="inlineStr">
        <is>
          <t>可选</t>
        </is>
      </c>
      <c r="E4" s="3" t="inlineStr">
        <is>
          <t>同 FA-04</t>
        </is>
      </c>
      <c r="F4" s="3" t="inlineStr"/>
    </row>
    <row r="5">
      <c r="A5" s="2" t="inlineStr">
        <is>
          <t>FA-04.3</t>
        </is>
      </c>
      <c r="B5" s="2" t="n"/>
      <c r="C5" s="2" t="inlineStr">
        <is>
          <t>倒计时显示</t>
        </is>
      </c>
      <c r="D5" s="2" t="inlineStr">
        <is>
          <t>可选</t>
        </is>
      </c>
      <c r="E5" s="3" t="inlineStr">
        <is>
          <t>同 FA-04</t>
        </is>
      </c>
      <c r="F5" s="3" t="inlineStr"/>
    </row>
    <row r="6">
      <c r="A6" s="2" t="inlineStr">
        <is>
          <t>FA-04.4</t>
        </is>
      </c>
      <c r="B6" s="2" t="n"/>
      <c r="C6" s="2" t="inlineStr">
        <is>
          <t>设置信息可查</t>
        </is>
      </c>
      <c r="D6" s="2" t="inlineStr">
        <is>
          <t>可选</t>
        </is>
      </c>
      <c r="E6" s="3" t="inlineStr">
        <is>
          <t>同 FA-04</t>
        </is>
      </c>
      <c r="F6" s="3" t="inlineStr"/>
    </row>
    <row r="7">
      <c r="A7" s="2" t="inlineStr">
        <is>
          <t>FA-11</t>
        </is>
      </c>
      <c r="B7" s="2" t="n"/>
      <c r="C7" s="2" t="n"/>
      <c r="D7" s="2" t="inlineStr">
        <is>
          <t>P1</t>
        </is>
      </c>
      <c r="E7" s="3" t="inlineStr">
        <is>
          <t>信息显示时间缺年份("01月02日 00:20:58"),不满足年月日时分秒</t>
        </is>
      </c>
      <c r="F7" s="3" t="inlineStr"/>
    </row>
    <row r="8">
      <c r="A8" s="2" t="inlineStr">
        <is>
          <t>ST-05</t>
        </is>
      </c>
      <c r="B8" s="2" t="n"/>
      <c r="C8" s="2" t="inlineStr">
        <is>
          <t>开机自检·故障优先显示</t>
        </is>
      </c>
      <c r="D8" s="2" t="inlineStr">
        <is>
          <t>P1</t>
        </is>
      </c>
      <c r="E8" s="3" t="inlineStr">
        <is>
          <t>现在卡到启动页面了</t>
        </is>
      </c>
      <c r="F8" s="3" t="inlineStr"/>
    </row>
    <row r="9">
      <c r="A9" s="2" t="inlineStr">
        <is>
          <t>DP-05</t>
        </is>
      </c>
      <c r="B9" s="2" t="inlineStr">
        <is>
          <t>查询 / 历史记录</t>
        </is>
      </c>
      <c r="C9" s="2" t="inlineStr">
        <is>
          <t>历史记录·全部查询按钮</t>
        </is>
      </c>
      <c r="D9" s="2" t="inlineStr">
        <is>
          <t>P1</t>
        </is>
      </c>
      <c r="E9" s="3" t="inlineStr">
        <is>
          <t>全部查询按钮点击无响应</t>
        </is>
      </c>
      <c r="F9" s="13" t="inlineStr">
        <is>
          <t>★ 全局导航缺陷</t>
        </is>
      </c>
    </row>
    <row r="10">
      <c r="A10" s="2" t="inlineStr">
        <is>
          <t>UI-01.3</t>
        </is>
      </c>
      <c r="B10" s="2" t="inlineStr">
        <is>
          <t>查询 / 历史记录</t>
        </is>
      </c>
      <c r="C10" s="2" t="inlineStr">
        <is>
          <t>菜单页信息项完整</t>
        </is>
      </c>
      <c r="D10" s="2" t="inlineStr">
        <is>
          <t>P1</t>
        </is>
      </c>
      <c r="E10" s="3" t="inlineStr">
        <is>
          <t>缺少其他</t>
        </is>
      </c>
      <c r="F10" s="3" t="inlineStr"/>
    </row>
    <row r="11">
      <c r="A11" s="2" t="inlineStr">
        <is>
          <t>UI-02</t>
        </is>
      </c>
      <c r="B11" s="2" t="inlineStr">
        <is>
          <t>查询 / 控制器信息</t>
        </is>
      </c>
      <c r="C11" s="2" t="inlineStr">
        <is>
          <t>控制器信息</t>
        </is>
      </c>
      <c r="D11" s="2" t="inlineStr">
        <is>
          <t>P1</t>
        </is>
      </c>
      <c r="E11" s="3" t="inlineStr">
        <is>
          <t>没有容量</t>
        </is>
      </c>
      <c r="F11" s="3" t="inlineStr"/>
    </row>
    <row r="12">
      <c r="A12" s="2" t="inlineStr">
        <is>
          <t>UI-04.3</t>
        </is>
      </c>
      <c r="B12" s="2" t="inlineStr">
        <is>
          <t>查询 / 单点查询</t>
        </is>
      </c>
      <c r="C12" s="2" t="inlineStr">
        <is>
          <t>单点查询·返回按钮</t>
        </is>
      </c>
      <c r="D12" s="2" t="inlineStr">
        <is>
          <t>P1</t>
        </is>
      </c>
      <c r="E12" s="3" t="inlineStr">
        <is>
          <t>显示的菜单按钮，点击到了菜单页</t>
        </is>
      </c>
      <c r="F12" s="13" t="inlineStr">
        <is>
          <t>★ 全局导航缺陷</t>
        </is>
      </c>
    </row>
    <row r="13">
      <c r="A13" s="2" t="inlineStr">
        <is>
          <t>UI-05.1</t>
        </is>
      </c>
      <c r="B13" s="2" t="inlineStr">
        <is>
          <t>查询 / 级联从机</t>
        </is>
      </c>
      <c r="C13" s="2" t="inlineStr">
        <is>
          <t>级联从机·无从机显示</t>
        </is>
      </c>
      <c r="D13" s="2" t="inlineStr">
        <is>
          <t>P1</t>
        </is>
      </c>
      <c r="E13" s="3" t="inlineStr">
        <is>
          <t>无从机的情况下，有显示对勾的</t>
        </is>
      </c>
      <c r="F13" s="3" t="inlineStr"/>
    </row>
    <row r="14">
      <c r="A14" s="2" t="inlineStr">
        <is>
          <t>UI-07.4</t>
        </is>
      </c>
      <c r="B14" s="2" t="inlineStr">
        <is>
          <t>监控&amp;控制 / 节点设备监控</t>
        </is>
      </c>
      <c r="C14" s="2" t="inlineStr">
        <is>
          <t>节点监控·返回按钮</t>
        </is>
      </c>
      <c r="D14" s="2" t="inlineStr">
        <is>
          <t>P1</t>
        </is>
      </c>
      <c r="E14" s="3" t="inlineStr">
        <is>
          <t>显示的是菜单按钮，点击跳到菜单页（与 UI-26/27、UI-03.4/.6、UI-04.3、UI-05.2、UI-18.3、UI-01.4 同源）</t>
        </is>
      </c>
      <c r="F14" s="13" t="inlineStr">
        <is>
          <t>★ 全局导航缺陷</t>
        </is>
      </c>
    </row>
    <row r="15">
      <c r="A15" s="2" t="inlineStr">
        <is>
          <t>UI-08.4</t>
        </is>
      </c>
      <c r="B15" s="2" t="inlineStr">
        <is>
          <t>监控&amp;控制 / 通讯成功率</t>
        </is>
      </c>
      <c r="C15" s="2" t="inlineStr">
        <is>
          <t>通讯成功率·返回按钮</t>
        </is>
      </c>
      <c r="D15" s="2" t="inlineStr">
        <is>
          <t>P1</t>
        </is>
      </c>
      <c r="E15" s="3" t="inlineStr">
        <is>
          <t>显示的是菜单按钮，点击跳到菜单页（全局导航缺陷，同源第 11 处）</t>
        </is>
      </c>
      <c r="F15" s="13" t="inlineStr">
        <is>
          <t>★ 全局导航缺陷</t>
        </is>
      </c>
    </row>
    <row r="16">
      <c r="A16" s="2" t="inlineStr">
        <is>
          <t>UI-10.4</t>
        </is>
      </c>
      <c r="B16" s="2" t="inlineStr">
        <is>
          <t>监控&amp;控制 / 启停控制</t>
        </is>
      </c>
      <c r="C16" s="2" t="inlineStr">
        <is>
          <t>启停·返回按钮响应</t>
        </is>
      </c>
      <c r="D16" s="2" t="inlineStr">
        <is>
          <t>P1</t>
        </is>
      </c>
      <c r="E16" s="3" t="inlineStr">
        <is>
          <t>⚠️与其他页不同：本页返回按钮显示正确，但点击无响应。属全局导航缺陷的第二亚型（显示对/不响应），另一亚型为显示成菜单按钮</t>
        </is>
      </c>
      <c r="F16" s="13" t="inlineStr">
        <is>
          <t>★ 全局导航缺陷</t>
        </is>
      </c>
    </row>
    <row r="17">
      <c r="A17" s="2" t="inlineStr">
        <is>
          <t>UI-11.1</t>
        </is>
      </c>
      <c r="B17" s="2" t="inlineStr">
        <is>
          <t>监控&amp;控制 / 屏蔽控制</t>
        </is>
      </c>
      <c r="C17" s="2" t="inlineStr">
        <is>
          <t>屏蔽·空地址输入校验</t>
        </is>
      </c>
      <c r="D17" s="2" t="inlineStr">
        <is>
          <t>P1</t>
        </is>
      </c>
      <c r="E17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3" t="inlineStr"/>
    </row>
    <row r="18">
      <c r="A18" s="2" t="inlineStr">
        <is>
          <t>UI-11.4</t>
        </is>
      </c>
      <c r="B18" s="2" t="inlineStr">
        <is>
          <t>监控&amp;控制 / 屏蔽控制</t>
        </is>
      </c>
      <c r="C18" s="2" t="inlineStr">
        <is>
          <t>解除屏蔽·声信号未随状态停止</t>
        </is>
      </c>
      <c r="D18" s="2" t="inlineStr">
        <is>
          <t>P1</t>
        </is>
      </c>
      <c r="E18" s="3" t="inlineStr">
        <is>
          <t>❌ 解除屏蔽后物理屏蔽灯已关闭，但声音未停；必须手动按消音键声音才消失 → 声信号与状态解耦</t>
        </is>
      </c>
      <c r="F18" s="3" t="inlineStr"/>
    </row>
    <row r="19">
      <c r="A19" s="2" t="inlineStr">
        <is>
          <t>UI-11.5</t>
        </is>
      </c>
      <c r="B19" s="2" t="inlineStr">
        <is>
          <t>监控&amp;控制 / 屏蔽控制</t>
        </is>
      </c>
      <c r="C19" s="2" t="inlineStr">
        <is>
          <t>消音灯常亮·不自动复位</t>
        </is>
      </c>
      <c r="D19" s="7" t="inlineStr">
        <is>
          <t>P0</t>
        </is>
      </c>
      <c r="E1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3" t="inlineStr"/>
    </row>
    <row r="20">
      <c r="A20" s="2" t="inlineStr">
        <is>
          <t>UI-11.6</t>
        </is>
      </c>
      <c r="B20" s="2" t="inlineStr">
        <is>
          <t>监控&amp;控制 / 屏蔽控制</t>
        </is>
      </c>
      <c r="C20" s="2" t="inlineStr">
        <is>
          <t>屏蔽页·返回按钮响应</t>
        </is>
      </c>
      <c r="D20" s="2" t="inlineStr">
        <is>
          <t>P1</t>
        </is>
      </c>
      <c r="E20" s="3" t="inlineStr">
        <is>
          <t>❌ 返回按钮无响应（全局导航缺陷·亚型B：显示对/不响应）</t>
        </is>
      </c>
      <c r="F20" s="13" t="inlineStr">
        <is>
          <t>★ 全局导航缺陷</t>
        </is>
      </c>
    </row>
    <row r="21">
      <c r="A21" s="2" t="inlineStr">
        <is>
          <t>UI-13.4</t>
        </is>
      </c>
      <c r="B21" s="2" t="inlineStr">
        <is>
          <t>设置 / 密码设置</t>
        </is>
      </c>
      <c r="C21" s="2" t="inlineStr">
        <is>
          <t>密码设置·返回按钮</t>
        </is>
      </c>
      <c r="D21" s="2" t="inlineStr">
        <is>
          <t>P1</t>
        </is>
      </c>
      <c r="E21" s="3" t="inlineStr">
        <is>
          <t>❌ 返回按钮不正确（全局导航缺陷）</t>
        </is>
      </c>
      <c r="F21" s="13" t="inlineStr">
        <is>
          <t>★ 全局导航缺陷</t>
        </is>
      </c>
    </row>
    <row r="22">
      <c r="A22" s="2" t="inlineStr">
        <is>
          <t>UI-14.5</t>
        </is>
      </c>
      <c r="B22" s="2" t="inlineStr">
        <is>
          <t>设置 / 基础设置</t>
        </is>
      </c>
      <c r="C22" s="2" t="inlineStr">
        <is>
          <t>基础设置·返回按钮</t>
        </is>
      </c>
      <c r="D22" s="2" t="inlineStr">
        <is>
          <t>P1</t>
        </is>
      </c>
      <c r="E22" s="3" t="inlineStr">
        <is>
          <t>❌ 返回按钮不正确（全局导航缺陷）</t>
        </is>
      </c>
      <c r="F22" s="13" t="inlineStr">
        <is>
          <t>★ 全局导航缺陷</t>
        </is>
      </c>
    </row>
    <row r="23">
      <c r="A23" s="2" t="inlineStr">
        <is>
          <t>UI-14.6</t>
        </is>
      </c>
      <c r="B23" s="2" t="inlineStr">
        <is>
          <t>设置 / 基础设置</t>
        </is>
      </c>
      <c r="C23" s="2" t="inlineStr">
        <is>
          <t>⚠️系统时钟停在00年</t>
        </is>
      </c>
      <c r="D23" s="7" t="inlineStr">
        <is>
          <t>P0</t>
        </is>
      </c>
      <c r="E23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3" t="inlineStr"/>
    </row>
    <row r="24">
      <c r="A24" s="2" t="inlineStr">
        <is>
          <t>UI-14.7</t>
        </is>
      </c>
      <c r="B24" s="2" t="inlineStr">
        <is>
          <t>设置 / 基础设置</t>
        </is>
      </c>
      <c r="C24" s="2" t="inlineStr">
        <is>
          <t>⚠️声音使能可关闭强制声信号</t>
        </is>
      </c>
      <c r="D24" s="7" t="inlineStr">
        <is>
          <t>P0</t>
        </is>
      </c>
      <c r="E24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3" t="inlineStr"/>
    </row>
    <row r="25">
      <c r="A25" s="2" t="inlineStr">
        <is>
          <t>UI-16</t>
        </is>
      </c>
      <c r="B25" s="2" t="inlineStr">
        <is>
          <t>设置 / 节点设置</t>
        </is>
      </c>
      <c r="C25" s="2" t="n"/>
      <c r="D25" s="2" t="inlineStr">
        <is>
          <t>P1</t>
        </is>
      </c>
      <c r="E25" s="3" t="inlineStr">
        <is>
          <t>节点设置：菜单入口存在，点击无响应（功能未开发）</t>
        </is>
      </c>
      <c r="F25" s="13" t="inlineStr">
        <is>
          <t>★ 全局导航缺陷</t>
        </is>
      </c>
    </row>
    <row r="26">
      <c r="A26" s="2" t="inlineStr">
        <is>
          <t>UI-17.1</t>
        </is>
      </c>
      <c r="B26" s="2" t="inlineStr">
        <is>
          <t>设置 / 操作模式设置</t>
        </is>
      </c>
      <c r="C26" s="2" t="inlineStr">
        <is>
          <t>操作模式·返回按钮</t>
        </is>
      </c>
      <c r="D26" s="2" t="inlineStr">
        <is>
          <t>P1</t>
        </is>
      </c>
      <c r="E26" s="3" t="inlineStr">
        <is>
          <t>❌ 显示的是菜单按钮，点击跳到菜单页（全局导航缺陷·亚型A）</t>
        </is>
      </c>
      <c r="F26" s="13" t="inlineStr">
        <is>
          <t>★ 全局导航缺陷</t>
        </is>
      </c>
    </row>
    <row r="27">
      <c r="A27" s="2" t="inlineStr">
        <is>
          <t>UI-17.3</t>
        </is>
      </c>
      <c r="B27" s="2" t="inlineStr">
        <is>
          <t>设置 / 操作模式设置</t>
        </is>
      </c>
      <c r="C27" s="2" t="inlineStr">
        <is>
          <t>⚠️免打扰模式·状态可区分与值班提示</t>
        </is>
      </c>
      <c r="D27" s="7" t="inlineStr">
        <is>
          <t>P0</t>
        </is>
      </c>
      <c r="E27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3" t="inlineStr"/>
    </row>
    <row r="28">
      <c r="A28" s="2" t="inlineStr">
        <is>
          <t>UI-18.3</t>
        </is>
      </c>
      <c r="B28" s="2" t="inlineStr">
        <is>
          <t>调试 / 点位注册</t>
        </is>
      </c>
      <c r="C28" s="2" t="inlineStr">
        <is>
          <t>设备注册·返回按钮</t>
        </is>
      </c>
      <c r="D28" s="2" t="inlineStr">
        <is>
          <t>P1</t>
        </is>
      </c>
      <c r="E28" s="3" t="inlineStr">
        <is>
          <t>左上角返回按钮点击无响应</t>
        </is>
      </c>
      <c r="F28" s="13" t="inlineStr">
        <is>
          <t>★ 全局导航缺陷</t>
        </is>
      </c>
    </row>
    <row r="29">
      <c r="A29" s="2" t="inlineStr">
        <is>
          <t>UI-19</t>
        </is>
      </c>
      <c r="B29" s="2" t="inlineStr">
        <is>
          <t>调试 / 配置导入</t>
        </is>
      </c>
      <c r="C29" s="2" t="n"/>
      <c r="D29" s="2" t="inlineStr">
        <is>
          <t>P1</t>
        </is>
      </c>
      <c r="E29" s="3" t="inlineStr">
        <is>
          <t>功能未实现（菜单入口存在，功能未开发）</t>
        </is>
      </c>
      <c r="F29" s="3" t="inlineStr"/>
    </row>
    <row r="30">
      <c r="A30" s="2" t="inlineStr">
        <is>
          <t>UI-20</t>
        </is>
      </c>
      <c r="B30" s="2" t="inlineStr">
        <is>
          <t>调试 / 联动编程</t>
        </is>
      </c>
      <c r="C30" s="2" t="n"/>
      <c r="D30" s="2" t="inlineStr">
        <is>
          <t>P1</t>
        </is>
      </c>
      <c r="E30" s="3" t="inlineStr">
        <is>
          <t>功能未实现（菜单入口存在，功能未开发）</t>
        </is>
      </c>
      <c r="F30" s="3" t="inlineStr"/>
    </row>
    <row r="31">
      <c r="A31" s="2" t="inlineStr">
        <is>
          <t>UI-26</t>
        </is>
      </c>
      <c r="B31" s="2" t="n"/>
      <c r="C31" s="2" t="inlineStr">
        <is>
          <t>检查页右上角返回按钮</t>
        </is>
      </c>
      <c r="D31" s="2" t="inlineStr">
        <is>
          <t>P1</t>
        </is>
      </c>
      <c r="E31" s="3" t="inlineStr">
        <is>
          <t>右上角为菜单按钮,点击进入信息显示页,非返回主页</t>
        </is>
      </c>
      <c r="F31" s="13" t="inlineStr">
        <is>
          <t>★ 全局导航缺陷</t>
        </is>
      </c>
    </row>
    <row r="32">
      <c r="A32" s="2" t="inlineStr">
        <is>
          <t>UI-27</t>
        </is>
      </c>
      <c r="B32" s="2" t="n"/>
      <c r="C32" s="2" t="inlineStr">
        <is>
          <t>信息显示页右上角返回按钮</t>
        </is>
      </c>
      <c r="D32" s="2" t="inlineStr">
        <is>
          <t>P1</t>
        </is>
      </c>
      <c r="E32" s="3" t="inlineStr">
        <is>
          <t>右上角同样非返回</t>
        </is>
      </c>
      <c r="F32" s="3" t="inlineStr"/>
    </row>
    <row r="33">
      <c r="A33" s="2" t="inlineStr">
        <is>
          <t>UI-28</t>
        </is>
      </c>
      <c r="B33" s="2" t="n"/>
      <c r="C33" s="2" t="inlineStr">
        <is>
          <t>信息显示时间格式</t>
        </is>
      </c>
      <c r="D33" s="2" t="inlineStr">
        <is>
          <t>P1</t>
        </is>
      </c>
      <c r="E33" s="3" t="inlineStr">
        <is>
          <t>时间显示"01月02日 00:20:58"缺年份</t>
        </is>
      </c>
      <c r="F33" s="3" t="inlineStr"/>
    </row>
    <row r="34">
      <c r="A34" s="2" t="inlineStr">
        <is>
          <t>UI-01.4</t>
        </is>
      </c>
      <c r="B34" s="2" t="inlineStr">
        <is>
          <t>查询 / 历史记录</t>
        </is>
      </c>
      <c r="C34" s="2" t="inlineStr">
        <is>
          <t>菜单页·详情返回</t>
        </is>
      </c>
      <c r="D34" s="2" t="inlineStr">
        <is>
          <t>P1</t>
        </is>
      </c>
      <c r="E34" s="3" t="inlineStr">
        <is>
          <t>无法返回到菜单页</t>
        </is>
      </c>
      <c r="F34" s="13" t="inlineStr">
        <is>
          <t>★ 全局导航缺陷</t>
        </is>
      </c>
    </row>
    <row r="35">
      <c r="A35" s="2" t="inlineStr">
        <is>
          <t>DP-11</t>
        </is>
      </c>
      <c r="B35" s="2" t="inlineStr">
        <is>
          <t>查询 / 历史记录</t>
        </is>
      </c>
      <c r="C35" s="2" t="inlineStr">
        <is>
          <t>历史记录·详情返回按钮</t>
        </is>
      </c>
      <c r="D35" s="2" t="inlineStr">
        <is>
          <t>P1</t>
        </is>
      </c>
      <c r="E35" s="3" t="inlineStr">
        <is>
          <t>应该显示返回按钮，显示了菜单按钮。点击按钮无响应</t>
        </is>
      </c>
      <c r="F35" s="13" t="inlineStr">
        <is>
          <t>★ 全局导航缺陷</t>
        </is>
      </c>
    </row>
    <row r="36">
      <c r="A36" s="2" t="inlineStr">
        <is>
          <t>DP-13</t>
        </is>
      </c>
      <c r="B36" s="2" t="inlineStr">
        <is>
          <t>查询 / 历史记录</t>
        </is>
      </c>
      <c r="C36" s="2" t="inlineStr">
        <is>
          <t>历史记录·按回路查询</t>
        </is>
      </c>
      <c r="D36" s="2" t="inlineStr">
        <is>
          <t>P1</t>
        </is>
      </c>
      <c r="E36" s="3" t="inlineStr">
        <is>
          <t>回路1有故障，查询回路1地址1，应该有数据，查询列表也无数据，查询回路1，地址2，却有数据</t>
        </is>
      </c>
      <c r="F36" s="3" t="inlineStr"/>
    </row>
    <row r="37">
      <c r="A37" s="2" t="inlineStr">
        <is>
          <t>UI-18.5</t>
        </is>
      </c>
      <c r="B37" s="2" t="inlineStr">
        <is>
          <t>调试 / 点位注册</t>
        </is>
      </c>
      <c r="C37" s="2" t="inlineStr">
        <is>
          <t>点位注册·右上角返回按钮</t>
        </is>
      </c>
      <c r="D37" s="2" t="inlineStr">
        <is>
          <t>P1</t>
        </is>
      </c>
      <c r="E37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3" t="inlineStr">
        <is>
          <t>★ 全局导航缺陷</t>
        </is>
      </c>
    </row>
    <row r="38">
      <c r="A38" s="2" t="inlineStr">
        <is>
          <t>UI-03.4</t>
        </is>
      </c>
      <c r="B38" s="2" t="inlineStr">
        <is>
          <t>查询 / 设备总览</t>
        </is>
      </c>
      <c r="C38" s="2" t="inlineStr">
        <is>
          <t>设备总览·列表返回按钮</t>
        </is>
      </c>
      <c r="D38" s="2" t="inlineStr">
        <is>
          <t>P1</t>
        </is>
      </c>
      <c r="E38" s="3" t="inlineStr">
        <is>
          <t>点击无响应</t>
        </is>
      </c>
      <c r="F38" s="13" t="inlineStr">
        <is>
          <t>★ 全局导航缺陷</t>
        </is>
      </c>
    </row>
    <row r="39">
      <c r="A39" s="2" t="inlineStr">
        <is>
          <t>UI-03.6</t>
        </is>
      </c>
      <c r="B39" s="2" t="inlineStr">
        <is>
          <t>查询 / 设备总览</t>
        </is>
      </c>
      <c r="C39" s="2" t="inlineStr">
        <is>
          <t>设备总览·详情返回按钮</t>
        </is>
      </c>
      <c r="D39" s="2" t="inlineStr">
        <is>
          <t>P1</t>
        </is>
      </c>
      <c r="E39" s="3" t="inlineStr">
        <is>
          <t>显示的菜单按钮，点击无响应</t>
        </is>
      </c>
      <c r="F39" s="13" t="inlineStr">
        <is>
          <t>★ 全局导航缺陷</t>
        </is>
      </c>
    </row>
    <row r="40">
      <c r="A40" s="2" t="inlineStr">
        <is>
          <t>UI-05.2</t>
        </is>
      </c>
      <c r="B40" s="2" t="inlineStr">
        <is>
          <t>查询 / 级联从机</t>
        </is>
      </c>
      <c r="C40" s="2" t="inlineStr">
        <is>
          <t>级联从机·返回按钮</t>
        </is>
      </c>
      <c r="D40" s="2" t="inlineStr">
        <is>
          <t>P1</t>
        </is>
      </c>
      <c r="E40" s="3" t="inlineStr">
        <is>
          <t>显示的菜单按钮，点击到了菜单页</t>
        </is>
      </c>
      <c r="F40" s="13" t="inlineStr">
        <is>
          <t>★ 全局导航缺陷</t>
        </is>
      </c>
    </row>
  </sheetData>
  <autoFilter ref="A1:F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2026-08-19T01:35:12Z</dcterms:modified>
</cp:coreProperties>
</file>