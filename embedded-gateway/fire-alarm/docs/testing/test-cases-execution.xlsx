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'测试执行表'!$A$1:$M$593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9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通过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通过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inlineStr">
        <is>
          <t>介入输入输出模块，巡检灯是亮的，用万用表测电压，电压是跳动的，接近 24V。按启动按钮。启动按钮不亮</t>
        </is>
      </c>
      <c r="J79" s="2" t="inlineStr">
        <is>
          <t>不通过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通过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待测</t>
        </is>
      </c>
      <c r="K164" s="2" t="n"/>
      <c r="L164" s="2" t="inlineStr">
        <is>
          <t>2026-08-18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屏蔽层级显示（合并边界）（总案）——逐个屏蔽同一探测区/回路内全部部位，沿边界测三个判定点。”回路被屏蔽"＝屏蔽列表里的聚合合并行（一行代表整条回路），合并条件是严格全集（防夸大合并：199/200 屏了仍须逐点/按区列出）</t>
        </is>
      </c>
      <c r="H167" s="3" t="inlineStr">
        <is>
          <t>见子项</t>
        </is>
      </c>
      <c r="I167" s="3" t="n"/>
      <c r="J167" s="2" t="inlineStr">
        <is>
          <t>不适用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不合并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个时不许出现合并行</t>
        </is>
      </c>
      <c r="I168" s="3" t="n"/>
      <c r="J168" s="2" t="inlineStr">
        <is>
          <t>不适用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全集才合并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全集达成才合并</t>
        </is>
      </c>
      <c r="I169" s="3" t="n"/>
      <c r="J169" s="2" t="inlineStr">
        <is>
          <t>不适用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不适用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合并仅显示层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合并仅发生在显示层——黑匣子/上报仍逐点记（事件 72/73）</t>
        </is>
      </c>
      <c r="I171" s="3" t="n"/>
      <c r="J171" s="2" t="inlineStr">
        <is>
          <t>不适用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待测</t>
        </is>
      </c>
      <c r="K178" s="2" t="n"/>
      <c r="L178" s="2" t="n"/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待测</t>
        </is>
      </c>
      <c r="K179" s="2" t="n"/>
      <c r="L179" s="2" t="inlineStr">
        <is>
          <t>2026-08-19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inlineStr">
        <is>
          <t>超过了 1 min, 实测 70s 左右</t>
        </is>
      </c>
      <c r="J222" s="2" t="inlineStr">
        <is>
          <t>不通过</t>
        </is>
      </c>
      <c r="K222" s="2" t="n"/>
      <c r="L222" s="2" t="n"/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不适用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通过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通过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通过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通过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通过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通过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UI-09.3</t>
        </is>
      </c>
      <c r="C354" s="3" t="inlineStr">
        <is>
          <t>人机菜单(产品级)</t>
        </is>
      </c>
      <c r="D354" s="3" t="inlineStr">
        <is>
          <t>机内监控·页面可用与刷新</t>
        </is>
      </c>
      <c r="E354" s="2" t="inlineStr">
        <is>
          <t>P1</t>
        </is>
      </c>
      <c r="F354" s="3" t="inlineStr">
        <is>
          <t>现场补充</t>
        </is>
      </c>
      <c r="G354" s="3" t="inlineStr">
        <is>
          <t>进入机内监控页，观察机内设备收发帧数矩阵</t>
        </is>
      </c>
      <c r="H354" s="3" t="inlineStr">
        <is>
          <t>页面正常显示各机内设备的主控发送/接收帧数并按提示周期刷新</t>
        </is>
      </c>
      <c r="I354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4" s="5" t="inlineStr">
        <is>
          <t>通过</t>
        </is>
      </c>
      <c r="K354" s="2" t="n"/>
      <c r="L354" s="2" t="inlineStr">
        <is>
          <t>2026-08-18</t>
        </is>
      </c>
      <c r="M354" s="3" t="inlineStr">
        <is>
          <t>现场实测补充用例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UI-09.4</t>
        </is>
      </c>
      <c r="C355" s="3" t="inlineStr">
        <is>
          <t>人机菜单(产品级)</t>
        </is>
      </c>
      <c r="D355" s="3" t="inlineStr">
        <is>
          <t>机内监控·打印机通信应答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观察打印机行的主控发送/接收帧数</t>
        </is>
      </c>
      <c r="H355" s="3" t="inlineStr">
        <is>
          <t>若打印机已配置且协议需应答，接收帧数应随发送增长</t>
        </is>
      </c>
      <c r="I355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5" s="8" t="inlineStr">
        <is>
          <t>不适用</t>
        </is>
      </c>
      <c r="K355" s="2" t="n"/>
      <c r="L355" s="2" t="inlineStr">
        <is>
          <t>2026-08-18</t>
        </is>
      </c>
      <c r="M355" s="3" t="inlineStr">
        <is>
          <t>⚠️结论待开发确认协议应答要求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UI-09.5</t>
        </is>
      </c>
      <c r="C356" s="3" t="inlineStr">
        <is>
          <t>人机菜单(产品级)</t>
        </is>
      </c>
      <c r="D356" s="3" t="inlineStr">
        <is>
          <t>机内监控·存储单元通信应答</t>
        </is>
      </c>
      <c r="E356" s="2" t="inlineStr">
        <is>
          <t>P0</t>
        </is>
      </c>
      <c r="F356" s="3" t="inlineStr">
        <is>
          <t>现场补充</t>
        </is>
      </c>
      <c r="G356" s="3" t="inlineStr">
        <is>
          <t>观察存储单元行的主控发送/接收帧数；同时查看顶栏状态与检查页故障数</t>
        </is>
      </c>
      <c r="H356" s="3" t="inlineStr">
        <is>
          <t>存储单元(黑匣子)为GB强制部件，通信异常应被检出并计入故障</t>
        </is>
      </c>
      <c r="I356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⚠️P0：黑匣子是17条用例的前置依赖，须优先定论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UI-10</t>
        </is>
      </c>
      <c r="C357" s="3" t="inlineStr">
        <is>
          <t>人机菜单(产品级)</t>
        </is>
      </c>
      <c r="D357" s="3" t="n"/>
      <c r="E357" s="2" t="inlineStr">
        <is>
          <t>P1</t>
        </is>
      </c>
      <c r="F357" s="3" t="inlineStr">
        <is>
          <t>表 1 第 8 项</t>
        </is>
      </c>
      <c r="G357" s="3" t="inlineStr">
        <is>
          <t>启停控制（总案）——Ⅰ 级态尝试菜单启停某设备；Ⅱ 级登录后再操作</t>
        </is>
      </c>
      <c r="H357" s="3" t="inlineStr">
        <is>
          <t>见子项</t>
        </is>
      </c>
      <c r="I357" s="3" t="n"/>
      <c r="J357" s="2" t="inlineStr">
        <is>
          <t>通过</t>
        </is>
      </c>
      <c r="K357" s="2" t="n"/>
      <c r="L357" s="2" t="n"/>
      <c r="M357" s="3" t="n"/>
      <c r="N357" s="2" t="inlineStr">
        <is>
          <t>监控&amp;控制 / 启停控制</t>
        </is>
      </c>
    </row>
    <row r="358">
      <c r="A358" s="2" t="n">
        <v>357</v>
      </c>
      <c r="B358" s="2" t="inlineStr">
        <is>
          <t>UI-10.1</t>
        </is>
      </c>
      <c r="C358" s="3" t="inlineStr">
        <is>
          <t>人机菜单(产品级)</t>
        </is>
      </c>
      <c r="D358" s="3" t="inlineStr">
        <is>
          <t>Ⅰ 级被拦</t>
        </is>
      </c>
      <c r="E358" s="2" t="inlineStr">
        <is>
          <t>P1</t>
        </is>
      </c>
      <c r="F358" s="3" t="inlineStr">
        <is>
          <t>表 1 第 8 项</t>
        </is>
      </c>
      <c r="G358" s="3" t="inlineStr">
        <is>
          <t>（见父案步骤）</t>
        </is>
      </c>
      <c r="H358" s="3" t="inlineStr">
        <is>
          <t>Ⅰ 级被拦</t>
        </is>
      </c>
      <c r="I358" s="3" t="n"/>
      <c r="J358" s="2" t="inlineStr">
        <is>
          <t>通过</t>
        </is>
      </c>
      <c r="K358" s="2" t="n"/>
      <c r="L358" s="2" t="n"/>
      <c r="M358" s="3" t="inlineStr">
        <is>
          <t>⚠️待测：需退回一级权限后重试启停，应被拦（同 OP-01.2）</t>
        </is>
      </c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UI-10.2</t>
        </is>
      </c>
      <c r="C359" s="3" t="inlineStr">
        <is>
          <t>人机菜单(产品级)</t>
        </is>
      </c>
      <c r="D359" s="3" t="inlineStr">
        <is>
          <t>Ⅱ 级可启停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Ⅱ 级可启停，动作与黑匣子记录一致</t>
        </is>
      </c>
      <c r="I359" s="3" t="inlineStr">
        <is>
          <t>二级权限下，设备启停页输入 2回路/2地址 → 启动/停止均生效；控制器启动后发出报警声，停止后声音关闭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现场实测（顶栏权限=二级）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UI-10.3</t>
        </is>
      </c>
      <c r="C360" s="3" t="inlineStr">
        <is>
          <t>人机菜单(产品级)</t>
        </is>
      </c>
      <c r="D360" s="3" t="inlineStr">
        <is>
          <t>启停·物理按键联动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在设备启停页启动/停止受控设备，同时观察面板物理按键对应的报警器</t>
        </is>
      </c>
      <c r="H360" s="3" t="inlineStr">
        <is>
          <t>面板物理按键控制的报警器状态应与菜单启停联动一致</t>
        </is>
      </c>
      <c r="I360" s="3" t="inlineStr">
        <is>
          <t>物理按键的报警器与本功能联动一致；控制器启动后有报警声，停止后声音关闭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现场实测补充用例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UI-10.4</t>
        </is>
      </c>
      <c r="C361" s="3" t="inlineStr">
        <is>
          <t>人机菜单(产品级)</t>
        </is>
      </c>
      <c r="D361" s="3" t="inlineStr">
        <is>
          <t>启停·返回按钮响应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在设备启停页点击右上角返回按钮</t>
        </is>
      </c>
      <c r="H361" s="3" t="inlineStr">
        <is>
          <t>右上角应显示返回按钮，点击返回上一页</t>
        </is>
      </c>
      <c r="I361" s="3" t="inlineStr">
        <is>
          <t>⚠️与其他页不同：本页返回按钮显示正确，但点击无响应。属全局导航缺陷的第二亚型（显示对/不响应），另一亚型为显示成菜单按钮</t>
        </is>
      </c>
      <c r="J361" s="7" t="inlineStr">
        <is>
          <t>不通过</t>
        </is>
      </c>
      <c r="K361" s="2" t="n"/>
      <c r="L361" s="2" t="inlineStr">
        <is>
          <t>2026-08-18</t>
        </is>
      </c>
      <c r="M361" s="3" t="inlineStr">
        <is>
          <t>现场实测补充用例；全局导航缺陷·亚型B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UI-10.5</t>
        </is>
      </c>
      <c r="C362" s="3" t="inlineStr">
        <is>
          <t>人机菜单(产品级)</t>
        </is>
      </c>
      <c r="D362" s="3" t="inlineStr">
        <is>
          <t>启停·联动地址操作入口</t>
        </is>
      </c>
      <c r="E362" s="2" t="inlineStr">
        <is>
          <t>P2</t>
        </is>
      </c>
      <c r="F362" s="3" t="inlineStr">
        <is>
          <t>现场补充</t>
        </is>
      </c>
      <c r="G362" s="3" t="inlineStr">
        <is>
          <t>观察页面第二组输入「联动地址操作」</t>
        </is>
      </c>
      <c r="H362" s="3" t="inlineStr">
        <is>
          <t>除逻辑地址(回路/地址)外，另提供按联动地址启停的入口</t>
        </is>
      </c>
      <c r="I362" s="3" t="inlineStr">
        <is>
          <t>页面存在「逻辑地址操作」与「联动地址操作」两组入口；本次仅验证逻辑地址组，联动地址组未输入未测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联动地址组待补测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UI-11</t>
        </is>
      </c>
      <c r="C363" s="3" t="inlineStr">
        <is>
          <t>人机菜单(产品级)</t>
        </is>
      </c>
      <c r="D363" s="3" t="inlineStr">
        <is>
          <t>屏蔽控制</t>
        </is>
      </c>
      <c r="E363" s="2" t="inlineStr">
        <is>
          <t>P1</t>
        </is>
      </c>
      <c r="F363" s="3" t="inlineStr">
        <is>
          <t>关联 SH-01</t>
        </is>
      </c>
      <c r="G363" s="3" t="inlineStr">
        <is>
          <t>菜单路径执行屏蔽/解除</t>
        </is>
      </c>
      <c r="H363" s="3" t="inlineStr">
        <is>
          <t>权限、每次 1 只、报警/故障中不可屏——SH-01 全部判据经菜单路径同样成立</t>
        </is>
      </c>
      <c r="I363" s="3" t="n"/>
      <c r="J363" s="2" t="inlineStr">
        <is>
          <t>通过</t>
        </is>
      </c>
      <c r="K363" s="2" t="n"/>
      <c r="L363" s="2" t="n"/>
      <c r="M363" s="3" t="n"/>
      <c r="N363" s="2" t="inlineStr">
        <is>
          <t>监控&amp;控制 / 屏蔽控制</t>
        </is>
      </c>
    </row>
    <row r="364">
      <c r="A364" s="2" t="n">
        <v>363</v>
      </c>
      <c r="B364" s="2" t="inlineStr">
        <is>
          <t>UI-11.2</t>
        </is>
      </c>
      <c r="C364" s="3" t="inlineStr">
        <is>
          <t>人机菜单(产品级)</t>
        </is>
      </c>
      <c r="D364" s="3" t="inlineStr">
        <is>
          <t>屏蔽生效·被屏蔽设备不响应</t>
        </is>
      </c>
      <c r="E364" s="2" t="inlineStr">
        <is>
          <t>P0</t>
        </is>
      </c>
      <c r="F364" s="3" t="inlineStr">
        <is>
          <t>5.4.4 屏蔽语义</t>
        </is>
      </c>
      <c r="G364" s="3" t="inlineStr">
        <is>
          <t>屏蔽声光报警器 → 按物理手报触发</t>
        </is>
      </c>
      <c r="H364" s="3" t="inlineStr">
        <is>
          <t>被屏蔽设备不参与报警响应，屏蔽灯亮</t>
        </is>
      </c>
      <c r="I364" s="3" t="inlineStr">
        <is>
          <t>✅ 屏蔽后屏蔽灯亮，按物理报警器时声光报警器无响应</t>
        </is>
      </c>
      <c r="J364" s="5" t="inlineStr">
        <is>
          <t>通过</t>
        </is>
      </c>
      <c r="K364" s="2" t="n"/>
      <c r="L364" s="2" t="inlineStr">
        <is>
          <t>2026-08-18</t>
        </is>
      </c>
      <c r="M364" s="3" t="inlineStr">
        <is>
          <t>屏蔽核心功能验证</t>
        </is>
      </c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UI-11.3</t>
        </is>
      </c>
      <c r="C365" s="3" t="inlineStr">
        <is>
          <t>人机菜单(产品级)</t>
        </is>
      </c>
      <c r="D365" s="3" t="inlineStr">
        <is>
          <t>解除屏蔽·恢复响应</t>
        </is>
      </c>
      <c r="E365" s="2" t="inlineStr">
        <is>
          <t>P0</t>
        </is>
      </c>
      <c r="F365" s="3" t="inlineStr">
        <is>
          <t>SH-05.2 单独解除</t>
        </is>
      </c>
      <c r="G365" s="3" t="inlineStr">
        <is>
          <t>解除屏蔽 → 再按物理手报</t>
        </is>
      </c>
      <c r="H365" s="3" t="inlineStr">
        <is>
          <t>解除后屏蔽灯熄灭，设备恢复正常报警响应</t>
        </is>
      </c>
      <c r="I365" s="3" t="inlineStr">
        <is>
          <t>✅ 解除后屏蔽灯关闭，按物理报警器声光报警器正常响应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/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UI-11.5</t>
        </is>
      </c>
      <c r="C366" s="3" t="inlineStr">
        <is>
          <t>人机菜单(产品级)</t>
        </is>
      </c>
      <c r="D366" s="3" t="inlineStr">
        <is>
          <t>消音灯常亮·不自动复位</t>
        </is>
      </c>
      <c r="E366" s="2" t="inlineStr">
        <is>
          <t>P0</t>
        </is>
      </c>
      <c r="F366" s="3" t="inlineStr">
        <is>
          <t>FA-06.4 / FT-04.1</t>
        </is>
      </c>
      <c r="G366" s="3" t="inlineStr">
        <is>
          <t>手动消音后观察消音灯</t>
        </is>
      </c>
      <c r="H366" s="3" t="inlineStr">
        <is>
          <t>FA-06.4：新火警输入时消音灯应熄灭；消音状态须能自动退出</t>
        </is>
      </c>
      <c r="I366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6" s="7" t="inlineStr">
        <is>
          <t>不通过</t>
        </is>
      </c>
      <c r="K366" s="2" t="n"/>
      <c r="L366" s="2" t="inlineStr">
        <is>
          <t>2026-08-18</t>
        </is>
      </c>
      <c r="M366" s="3" t="inlineStr">
        <is>
          <t>⚠️P0 安全项，优先于全部导航缺陷</t>
        </is>
      </c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UI-11.6</t>
        </is>
      </c>
      <c r="C367" s="3" t="inlineStr">
        <is>
          <t>人机菜单(产品级)</t>
        </is>
      </c>
      <c r="D367" s="3" t="inlineStr">
        <is>
          <t>屏蔽页·返回按钮响应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在设备屏蔽页点击右上角返回按钮</t>
        </is>
      </c>
      <c r="H367" s="3" t="inlineStr">
        <is>
          <t>点击应返回上一页</t>
        </is>
      </c>
      <c r="I367" s="3" t="inlineStr">
        <is>
          <t>❌ 返回按钮无响应（全局导航缺陷·亚型B：显示对/不响应）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全局导航缺陷·亚型B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UI-12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关联 OP-01/02</t>
        </is>
      </c>
      <c r="G368" s="3" t="inlineStr">
        <is>
          <t>用户登陆（总案）——正确/错误密码各试；登录后放置超时</t>
        </is>
      </c>
      <c r="H368" s="3" t="inlineStr">
        <is>
          <t>见子项</t>
        </is>
      </c>
      <c r="I368" s="3" t="inlineStr">
        <is>
          <t>用户登陆功能全部测试通过（顶栏权限图标已随登录变为"二级"）</t>
        </is>
      </c>
      <c r="J368" s="5" t="inlineStr">
        <is>
          <t>通过</t>
        </is>
      </c>
      <c r="K368" s="2" t="n"/>
      <c r="L368" s="2" t="inlineStr">
        <is>
          <t>2026-08-18</t>
        </is>
      </c>
      <c r="M368" s="3" t="n"/>
      <c r="N368" s="2" t="inlineStr">
        <is>
          <t>设置 / 用户登陆</t>
        </is>
      </c>
    </row>
    <row r="369">
      <c r="A369" s="2" t="n">
        <v>368</v>
      </c>
      <c r="B369" s="2" t="inlineStr">
        <is>
          <t>UI-12.1</t>
        </is>
      </c>
      <c r="C369" s="3" t="inlineStr">
        <is>
          <t>人机菜单(产品级)</t>
        </is>
      </c>
      <c r="D369" s="3" t="inlineStr">
        <is>
          <t>正确密码升级</t>
        </is>
      </c>
      <c r="E369" s="2" t="inlineStr">
        <is>
          <t>P1</t>
        </is>
      </c>
      <c r="F369" s="3" t="inlineStr">
        <is>
          <t>关联 OP-01/02</t>
        </is>
      </c>
      <c r="G369" s="3" t="inlineStr">
        <is>
          <t>（见父案步骤）</t>
        </is>
      </c>
      <c r="H369" s="3" t="inlineStr">
        <is>
          <t>正确密码升级并显示当前级别（屏上"一级"图标变化）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UI-12.2</t>
        </is>
      </c>
      <c r="C370" s="3" t="inlineStr">
        <is>
          <t>人机菜单(产品级)</t>
        </is>
      </c>
      <c r="D370" s="3" t="inlineStr">
        <is>
          <t>错误密码拒绝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错误拒绝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UI-12.3</t>
        </is>
      </c>
      <c r="C371" s="3" t="inlineStr">
        <is>
          <t>人机菜单(产品级)</t>
        </is>
      </c>
      <c r="D371" s="3" t="inlineStr">
        <is>
          <t>超时回落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超时自动回落 Ⅰ 级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UI-13</t>
        </is>
      </c>
      <c r="C372" s="3" t="inlineStr">
        <is>
          <t>人机菜单(产品级)</t>
        </is>
      </c>
      <c r="D372" s="3" t="n"/>
      <c r="E372" s="2" t="inlineStr">
        <is>
          <t>P1</t>
        </is>
      </c>
      <c r="F372" s="3" t="inlineStr">
        <is>
          <t>关联 OP-03</t>
        </is>
      </c>
      <c r="G372" s="3" t="inlineStr">
        <is>
          <t>密码设置（总案）——Ⅲ 级改各级密码；Ⅱ 级尝试改 Ⅲ 级密码</t>
        </is>
      </c>
      <c r="H372" s="3" t="inlineStr">
        <is>
          <t>见子项</t>
        </is>
      </c>
      <c r="I372" s="3" t="n"/>
      <c r="J372" s="2" t="inlineStr">
        <is>
          <t>通过</t>
        </is>
      </c>
      <c r="K372" s="2" t="n"/>
      <c r="L372" s="2" t="n"/>
      <c r="M372" s="3" t="n"/>
      <c r="N372" s="2" t="inlineStr">
        <is>
          <t>设置 / 密码设置</t>
        </is>
      </c>
    </row>
    <row r="373">
      <c r="A373" s="2" t="n">
        <v>372</v>
      </c>
      <c r="B373" s="2" t="inlineStr">
        <is>
          <t>UI-13.1</t>
        </is>
      </c>
      <c r="C373" s="3" t="inlineStr">
        <is>
          <t>人机菜单(产品级)</t>
        </is>
      </c>
      <c r="D373" s="3" t="inlineStr">
        <is>
          <t>Ⅲ 级可改</t>
        </is>
      </c>
      <c r="E373" s="2" t="inlineStr">
        <is>
          <t>P1</t>
        </is>
      </c>
      <c r="F373" s="3" t="inlineStr">
        <is>
          <t>关联 OP-03</t>
        </is>
      </c>
      <c r="G373" s="3" t="inlineStr">
        <is>
          <t>（见父案步骤）</t>
        </is>
      </c>
      <c r="H373" s="3" t="inlineStr">
        <is>
          <t>Ⅲ 可改</t>
        </is>
      </c>
      <c r="I373" s="3" t="inlineStr">
        <is>
          <t>二级/三级密码设置结合登陆功能验证通过：各级登录后可修改本级密码，登录生效（顶栏权限图标随之变化）</t>
        </is>
      </c>
      <c r="J373" s="5" t="inlineStr">
        <is>
          <t>通过</t>
        </is>
      </c>
      <c r="K373" s="2" t="n"/>
      <c r="L373" s="2" t="inlineStr">
        <is>
          <t>2026-08-18</t>
        </is>
      </c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UI-13.2</t>
        </is>
      </c>
      <c r="C374" s="3" t="inlineStr">
        <is>
          <t>人机菜单(产品级)</t>
        </is>
      </c>
      <c r="D374" s="3" t="inlineStr">
        <is>
          <t>Ⅱ 改 Ⅲ 被拦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Ⅱ 改 Ⅲ 被拦（密钥单向性）</t>
        </is>
      </c>
      <c r="I374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inlineStr">
        <is>
          <t>2026-08-18</t>
        </is>
      </c>
      <c r="N374" s="2" t="inlineStr">
        <is>
          <t>设置 / 密码设置</t>
        </is>
      </c>
    </row>
    <row r="375">
      <c r="A375" s="2" t="n">
        <v>374</v>
      </c>
      <c r="B375" s="2" t="inlineStr">
        <is>
          <t>UI-13.3</t>
        </is>
      </c>
      <c r="C375" s="3" t="inlineStr">
        <is>
          <t>人机菜单(产品级)</t>
        </is>
      </c>
      <c r="D375" s="3" t="inlineStr">
        <is>
          <t>修改事件记录</t>
        </is>
      </c>
      <c r="E375" s="2" t="inlineStr">
        <is>
          <t>P1</t>
        </is>
      </c>
      <c r="F375" s="3" t="inlineStr">
        <is>
          <t>附录 B</t>
        </is>
      </c>
      <c r="G375" s="3" t="inlineStr">
        <is>
          <t>（见父案步骤）</t>
        </is>
      </c>
      <c r="H375" s="3" t="inlineStr">
        <is>
          <t>修改事件进黑匣子</t>
        </is>
      </c>
      <c r="I375" s="3" t="n"/>
      <c r="J375" s="2" t="inlineStr">
        <is>
          <t>待测</t>
        </is>
      </c>
      <c r="K375" s="2" t="n"/>
      <c r="L375" s="2" t="n"/>
      <c r="M375" s="3" t="n"/>
      <c r="N375" s="2" t="inlineStr">
        <is>
          <t>设置 / 密码设置</t>
        </is>
      </c>
    </row>
    <row r="376">
      <c r="A376" s="2" t="n">
        <v>375</v>
      </c>
      <c r="B376" s="2" t="inlineStr">
        <is>
          <t>UI-13.4</t>
        </is>
      </c>
      <c r="C376" s="3" t="inlineStr">
        <is>
          <t>人机菜单(产品级)</t>
        </is>
      </c>
      <c r="D376" s="3" t="inlineStr">
        <is>
          <t>密码设置·返回按钮</t>
        </is>
      </c>
      <c r="E376" s="2" t="inlineStr">
        <is>
          <t>P1</t>
        </is>
      </c>
      <c r="F376" s="3" t="inlineStr">
        <is>
          <t>现场补充</t>
        </is>
      </c>
      <c r="G376" s="3" t="inlineStr">
        <is>
          <t>在密码设置页点击右上角返回按钮</t>
        </is>
      </c>
      <c r="H376" s="3" t="inlineStr">
        <is>
          <t>点击应返回上一页</t>
        </is>
      </c>
      <c r="I376" s="3" t="inlineStr">
        <is>
          <t>❌ 返回按钮不正确（全局导航缺陷）</t>
        </is>
      </c>
      <c r="J376" s="7" t="inlineStr">
        <is>
          <t>不通过</t>
        </is>
      </c>
      <c r="K376" s="2" t="n"/>
      <c r="L376" s="2" t="inlineStr">
        <is>
          <t>2026-08-18</t>
        </is>
      </c>
      <c r="M376" s="3" t="inlineStr">
        <is>
          <t>全局导航缺陷</t>
        </is>
      </c>
      <c r="N376" s="2" t="inlineStr">
        <is>
          <t>设置 / 密码设置</t>
        </is>
      </c>
    </row>
    <row r="377">
      <c r="A377" s="2" t="n">
        <v>376</v>
      </c>
      <c r="B377" s="2" t="inlineStr">
        <is>
          <t>UI-13.5</t>
        </is>
      </c>
      <c r="C377" s="3" t="inlineStr">
        <is>
          <t>人机菜单(产品级)</t>
        </is>
      </c>
      <c r="D377" s="3" t="inlineStr">
        <is>
          <t>⚠️四级密码设置入口存在于本机</t>
        </is>
      </c>
      <c r="E377" s="2" t="inlineStr">
        <is>
          <t>P2</t>
        </is>
      </c>
      <c r="F377" s="3" t="inlineStr">
        <is>
          <t>OP-04</t>
        </is>
      </c>
      <c r="G377" s="3" t="inlineStr">
        <is>
          <t>二级权限下进入密码设置页，观察入口列表</t>
        </is>
      </c>
      <c r="H377" s="3" t="inlineStr">
        <is>
          <t>OP-04：Ⅳ级（生产商级）操作不能通过控制器本身进行</t>
        </is>
      </c>
      <c r="I377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>
        <is>
          <t>2026-08-18 复核改判；原误判已订正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UI-14</t>
        </is>
      </c>
      <c r="C378" s="3" t="inlineStr">
        <is>
          <t>人机菜单(产品级)</t>
        </is>
      </c>
      <c r="D378" s="3" t="n"/>
      <c r="E378" s="2" t="inlineStr">
        <is>
          <t>P1</t>
        </is>
      </c>
      <c r="F378" s="3" t="inlineStr">
        <is>
          <t>关联 FA-11</t>
        </is>
      </c>
      <c r="G378" s="3" t="inlineStr">
        <is>
          <t>基础设置·时钟（总案）——调整时钟</t>
        </is>
      </c>
      <c r="H378" s="3" t="inlineStr">
        <is>
          <t>见子项</t>
        </is>
      </c>
      <c r="I378" s="3" t="n"/>
      <c r="J378" s="2" t="inlineStr">
        <is>
          <t>待测</t>
        </is>
      </c>
      <c r="K378" s="2" t="n"/>
      <c r="L378" s="2" t="n"/>
      <c r="M378" s="3" t="n"/>
      <c r="N378" s="2" t="inlineStr">
        <is>
          <t>设置 / 基础设置</t>
        </is>
      </c>
    </row>
    <row r="379">
      <c r="A379" s="2" t="n">
        <v>378</v>
      </c>
      <c r="B379" s="2" t="inlineStr">
        <is>
          <t>UI-14.1</t>
        </is>
      </c>
      <c r="C379" s="3" t="inlineStr">
        <is>
          <t>人机菜单(产品级)</t>
        </is>
      </c>
      <c r="D379" s="3" t="inlineStr">
        <is>
          <t>调整生效</t>
        </is>
      </c>
      <c r="E379" s="2" t="inlineStr">
        <is>
          <t>P1</t>
        </is>
      </c>
      <c r="F379" s="3" t="inlineStr">
        <is>
          <t>关联 FA-11</t>
        </is>
      </c>
      <c r="G379" s="3" t="inlineStr">
        <is>
          <t>（见父案步骤）</t>
        </is>
      </c>
      <c r="H379" s="3" t="inlineStr">
        <is>
          <t>生效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UI-14.2</t>
        </is>
      </c>
      <c r="C380" s="3" t="inlineStr">
        <is>
          <t>人机菜单(产品级)</t>
        </is>
      </c>
      <c r="D380" s="3" t="inlineStr">
        <is>
          <t>调时事件记录</t>
        </is>
      </c>
      <c r="E380" s="2" t="inlineStr">
        <is>
          <t>P1</t>
        </is>
      </c>
      <c r="F380" s="3" t="inlineStr">
        <is>
          <t>附录 B</t>
        </is>
      </c>
      <c r="G380" s="3" t="inlineStr">
        <is>
          <t>（见父案步骤）</t>
        </is>
      </c>
      <c r="H380" s="3" t="inlineStr">
        <is>
          <t>黑匣子记录"调整时钟"事件（代码 131）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UI-14.4</t>
        </is>
      </c>
      <c r="C381" s="3" t="inlineStr">
        <is>
          <t>人机菜单(产品级)</t>
        </is>
      </c>
      <c r="D381" s="3" t="inlineStr">
        <is>
          <t>基础设置·亮度与锁屏</t>
        </is>
      </c>
      <c r="E381" s="2" t="inlineStr">
        <is>
          <t>P2</t>
        </is>
      </c>
      <c r="F381" s="3" t="inlineStr">
        <is>
          <t>现场补充</t>
        </is>
      </c>
      <c r="G381" s="3" t="inlineStr">
        <is>
          <t>设置亮度(10~100)与锁屏时间(30~900秒)后确定</t>
        </is>
      </c>
      <c r="H381" s="3" t="inlineStr">
        <is>
          <t>设置项生效，取值在标称范围内</t>
        </is>
      </c>
      <c r="I381" s="3" t="inlineStr">
        <is>
          <t>✅ 亮度=100、锁屏时间=30秒，设置后功能正确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inlineStr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UI-14.5</t>
        </is>
      </c>
      <c r="C382" s="3" t="inlineStr">
        <is>
          <t>人机菜单(产品级)</t>
        </is>
      </c>
      <c r="D382" s="3" t="inlineStr">
        <is>
          <t>基础设置·返回按钮</t>
        </is>
      </c>
      <c r="E382" s="2" t="inlineStr">
        <is>
          <t>P1</t>
        </is>
      </c>
      <c r="F382" s="3" t="inlineStr">
        <is>
          <t>现场补充</t>
        </is>
      </c>
      <c r="G382" s="3" t="inlineStr">
        <is>
          <t>在基础设置页点击右上角返回按钮</t>
        </is>
      </c>
      <c r="H382" s="3" t="inlineStr">
        <is>
          <t>点击应返回上一页</t>
        </is>
      </c>
      <c r="I382" s="3" t="inlineStr">
        <is>
          <t>❌ 返回按钮不正确（全局导航缺陷）</t>
        </is>
      </c>
      <c r="J382" s="7" t="inlineStr">
        <is>
          <t>不通过</t>
        </is>
      </c>
      <c r="K382" s="2" t="n"/>
      <c r="L382" s="2" t="inlineStr">
        <is>
          <t>2026-08-18</t>
        </is>
      </c>
      <c r="M382" s="3" t="inlineStr">
        <is>
          <t>全局导航缺陷</t>
        </is>
      </c>
      <c r="N382" s="2" t="inlineStr">
        <is>
          <t>设置 / 基础设置</t>
        </is>
      </c>
    </row>
    <row r="383">
      <c r="A383" s="2" t="n">
        <v>382</v>
      </c>
      <c r="B383" s="2" t="inlineStr">
        <is>
          <t>UI-14.6</t>
        </is>
      </c>
      <c r="C383" s="3" t="inlineStr">
        <is>
          <t>人机菜单(产品级)</t>
        </is>
      </c>
      <c r="D383" s="3" t="inlineStr">
        <is>
          <t>⚠️系统时钟停在00年</t>
        </is>
      </c>
      <c r="E383" s="2" t="inlineStr">
        <is>
          <t>P0</t>
        </is>
      </c>
      <c r="F383" s="3" t="inlineStr">
        <is>
          <t>SH-01.4/附录B表B.2</t>
        </is>
      </c>
      <c r="G383" s="3" t="inlineStr">
        <is>
          <t>查看基础设置页「时间设置」当前值</t>
        </is>
      </c>
      <c r="H383" s="3" t="inlineStr">
        <is>
          <t>存储必含年月日时分秒，显示至少到年月日时分；时钟应为真实日期</t>
        </is>
      </c>
      <c r="I38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3" s="7" t="inlineStr">
        <is>
          <t>通过</t>
        </is>
      </c>
      <c r="K383" s="2" t="n"/>
      <c r="L383" s="2" t="inlineStr">
        <is>
          <t>2026-08-18</t>
        </is>
      </c>
      <c r="M383" s="3" t="inlineStr">
        <is>
          <t>⚠️P0 根因项，先修再复测 FA-11/UI-28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UI-14.8</t>
        </is>
      </c>
      <c r="C384" s="3" t="inlineStr">
        <is>
          <t>人机菜单(产品级)</t>
        </is>
      </c>
      <c r="D384" s="3" t="inlineStr">
        <is>
          <t>锁屏态下报警可见性</t>
        </is>
      </c>
      <c r="E384" s="2" t="inlineStr">
        <is>
          <t>P1</t>
        </is>
      </c>
      <c r="F384" s="3" t="inlineStr">
        <is>
          <t>关联 UI-07.2</t>
        </is>
      </c>
      <c r="G384" s="3" t="inlineStr">
        <is>
          <t>设锁屏30秒→等待锁屏→触发火警</t>
        </is>
      </c>
      <c r="H384" s="3" t="inlineStr">
        <is>
          <t>锁屏不得阻断报警显示，应自动点亮并显示火警</t>
        </is>
      </c>
      <c r="I384" s="3" t="inlineStr">
        <is>
          <t>未测——锁屏功能已启用(30秒)，但未验证锁屏期间火警能否自动唤醒屏幕</t>
        </is>
      </c>
      <c r="J384" s="8" t="inlineStr">
        <is>
          <t>待测</t>
        </is>
      </c>
      <c r="K384" s="2" t="n"/>
      <c r="L384" s="2" t="inlineStr">
        <is>
          <t>2026-08-18</t>
        </is>
      </c>
      <c r="M384" s="3" t="inlineStr">
        <is>
          <t>安全相关，建议补测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UI-15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CM-01</t>
        </is>
      </c>
      <c r="G385" s="3" t="inlineStr">
        <is>
          <t>联网设置（总案）——配置 CRT 通信参数</t>
        </is>
      </c>
      <c r="H385" s="3" t="inlineStr">
        <is>
          <t>见子项</t>
        </is>
      </c>
      <c r="I385" s="4" t="inlineStr">
        <is>
          <t>联网设置暂时无法测试（需 CRT/上位机侧配合，当前"未连接"）</t>
        </is>
      </c>
      <c r="J385" s="6" t="inlineStr">
        <is>
          <t>待测</t>
        </is>
      </c>
      <c r="K385" s="2" t="n"/>
      <c r="L385" s="2" t="inlineStr">
        <is>
          <t>2026-08-18</t>
        </is>
      </c>
      <c r="M385" s="3" t="n"/>
      <c r="N385" s="2" t="inlineStr">
        <is>
          <t>设置 / 联网设置</t>
        </is>
      </c>
    </row>
    <row r="386">
      <c r="A386" s="2" t="n">
        <v>385</v>
      </c>
      <c r="B386" s="2" t="inlineStr">
        <is>
          <t>UI-15.1</t>
        </is>
      </c>
      <c r="C386" s="3" t="inlineStr">
        <is>
          <t>人机菜单(产品级)</t>
        </is>
      </c>
      <c r="D386" s="3" t="inlineStr">
        <is>
          <t>参数生效</t>
        </is>
      </c>
      <c r="E386" s="2" t="inlineStr">
        <is>
          <t>P1</t>
        </is>
      </c>
      <c r="F386" s="3" t="inlineStr">
        <is>
          <t>关联 CM-01</t>
        </is>
      </c>
      <c r="G386" s="3" t="inlineStr">
        <is>
          <t>（见父案步骤）</t>
        </is>
      </c>
      <c r="H386" s="3" t="inlineStr">
        <is>
          <t>参数生效可重连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UI-15.2</t>
        </is>
      </c>
      <c r="C387" s="3" t="inlineStr">
        <is>
          <t>人机菜单(产品级)</t>
        </is>
      </c>
      <c r="D387" s="3" t="inlineStr">
        <is>
          <t>防外网侵入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以太网口防外网侵入措施在位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UI-16</t>
        </is>
      </c>
      <c r="C388" s="3" t="inlineStr">
        <is>
          <t>人机菜单(产品级)</t>
        </is>
      </c>
      <c r="D388" s="3" t="n"/>
      <c r="E388" s="2" t="inlineStr">
        <is>
          <t>P1</t>
        </is>
      </c>
      <c r="F388" s="3" t="inlineStr">
        <is>
          <t>关联 WD-03</t>
        </is>
      </c>
      <c r="G388" s="3" t="inlineStr">
        <is>
          <t>节点设置（点表编辑）（总案）——Ⅲ 级编辑部位注释/类型/确认方式；编辑中途使真火警发生</t>
        </is>
      </c>
      <c r="H388" s="3" t="inlineStr">
        <is>
          <t>见子项</t>
        </is>
      </c>
      <c r="I388" s="3" t="inlineStr">
        <is>
          <t>节点设置：菜单入口存在，点击无响应（功能未开发）</t>
        </is>
      </c>
      <c r="J388" s="7" t="inlineStr">
        <is>
          <t>不通过</t>
        </is>
      </c>
      <c r="K388" s="2" t="n"/>
      <c r="L388" s="2" t="inlineStr">
        <is>
          <t>2026-08-18</t>
        </is>
      </c>
      <c r="M388" s="3" t="n"/>
      <c r="N388" s="2" t="inlineStr">
        <is>
          <t>设置 / 节点设置</t>
        </is>
      </c>
    </row>
    <row r="389">
      <c r="A389" s="2" t="n">
        <v>388</v>
      </c>
      <c r="B389" s="2" t="inlineStr">
        <is>
          <t>UI-16.1</t>
        </is>
      </c>
      <c r="C389" s="3" t="inlineStr">
        <is>
          <t>人机菜单(产品级)</t>
        </is>
      </c>
      <c r="D389" s="3" t="inlineStr">
        <is>
          <t>原子生效</t>
        </is>
      </c>
      <c r="E389" s="2" t="inlineStr">
        <is>
          <t>P1</t>
        </is>
      </c>
      <c r="F389" s="3" t="inlineStr">
        <is>
          <t>关联 WD-03</t>
        </is>
      </c>
      <c r="G389" s="3" t="inlineStr">
        <is>
          <t>（见父案步骤）</t>
        </is>
      </c>
      <c r="H389" s="3" t="inlineStr">
        <is>
          <t>编辑缓冲与运行配置分离、确认后原子生效</t>
        </is>
      </c>
      <c r="I389" s="3" t="n"/>
      <c r="J389" s="2" t="inlineStr">
        <is>
          <t>待测</t>
        </is>
      </c>
      <c r="K389" s="2" t="n"/>
      <c r="L389" s="2" t="n"/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UI-16.2</t>
        </is>
      </c>
      <c r="C390" s="3" t="inlineStr">
        <is>
          <t>人机菜单(产品级)</t>
        </is>
      </c>
      <c r="D390" s="3" t="inlineStr">
        <is>
          <t>编辑不阻断报警</t>
        </is>
      </c>
      <c r="E390" s="2" t="inlineStr">
        <is>
          <t>P1</t>
        </is>
      </c>
      <c r="F390" s="3" t="inlineStr">
        <is>
          <t>FA-13 语义</t>
        </is>
      </c>
      <c r="G390" s="3" t="inlineStr">
        <is>
          <t>（见父案步骤）</t>
        </is>
      </c>
      <c r="H390" s="3" t="inlineStr">
        <is>
          <t>编辑过程中报警照常（输入不阻断报警）</t>
        </is>
      </c>
      <c r="I390" s="3" t="n"/>
      <c r="J390" s="2" t="inlineStr">
        <is>
          <t>通过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UI-17</t>
        </is>
      </c>
      <c r="C391" s="3" t="inlineStr">
        <is>
          <t>人机菜单(产品级)</t>
        </is>
      </c>
      <c r="D391" s="3" t="inlineStr">
        <is>
          <t>操作模式设置</t>
        </is>
      </c>
      <c r="E391" s="2" t="inlineStr">
        <is>
          <t>⚠审查</t>
        </is>
      </c>
      <c r="F391" s="3" t="inlineStr">
        <is>
          <t>LC-03 红线</t>
        </is>
      </c>
      <c r="G391" s="3" t="inlineStr">
        <is>
          <t>先确认该菜单含义</t>
        </is>
      </c>
      <c r="H391" s="3" t="inlineStr">
        <is>
          <t>若含手/自动切换：不合规——5.4.2.2 强制自复位钥匙开关，菜单软切换不满足；若仅为显示/声音模式设置则按 P1 正常测</t>
        </is>
      </c>
      <c r="I391" s="3" t="inlineStr">
        <is>
          <t>操作模式页可进入，提供「正常运行」/「免打扰运行」两种模式；页内提示"免打扰运行模式下，事件不会打断人工操作"</t>
        </is>
      </c>
      <c r="J391" s="5" t="inlineStr">
        <is>
          <t>通过</t>
        </is>
      </c>
      <c r="K391" s="2" t="n"/>
      <c r="L391" s="2" t="inlineStr">
        <is>
          <t>2026-08-18</t>
        </is>
      </c>
      <c r="M391" s="3" t="inlineStr">
        <is>
          <t>页面本身可用；模式语义问题见 UI-17.2/.3</t>
        </is>
      </c>
      <c r="N391" s="2" t="inlineStr">
        <is>
          <t>设置 / 操作模式设置</t>
        </is>
      </c>
    </row>
    <row r="392">
      <c r="A392" s="2" t="n">
        <v>391</v>
      </c>
      <c r="B392" s="2" t="inlineStr">
        <is>
          <t>UI-17.1</t>
        </is>
      </c>
      <c r="C392" s="3" t="inlineStr">
        <is>
          <t>人机菜单(产品级)</t>
        </is>
      </c>
      <c r="D392" s="3" t="inlineStr">
        <is>
          <t>操作模式·返回按钮</t>
        </is>
      </c>
      <c r="E392" s="2" t="inlineStr">
        <is>
          <t>P1</t>
        </is>
      </c>
      <c r="F392" s="3" t="inlineStr">
        <is>
          <t>现场补充</t>
        </is>
      </c>
      <c r="G392" s="3" t="inlineStr">
        <is>
          <t>在操作模式页点击右上角按钮</t>
        </is>
      </c>
      <c r="H392" s="3" t="inlineStr">
        <is>
          <t>右上角应为返回按钮，点击返回上一页</t>
        </is>
      </c>
      <c r="I392" s="3" t="inlineStr">
        <is>
          <t>❌ 显示的是菜单按钮，点击跳到菜单页（全局导航缺陷·亚型A）</t>
        </is>
      </c>
      <c r="J392" s="7" t="inlineStr">
        <is>
          <t>不通过</t>
        </is>
      </c>
      <c r="K392" s="2" t="n"/>
      <c r="L392" s="2" t="inlineStr">
        <is>
          <t>2026-08-18</t>
        </is>
      </c>
      <c r="M392" s="3" t="inlineStr">
        <is>
          <t>全局导航缺陷·亚型A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UI-17.2</t>
        </is>
      </c>
      <c r="C393" s="3" t="inlineStr">
        <is>
          <t>人机菜单(产品级)</t>
        </is>
      </c>
      <c r="D393" s="3" t="inlineStr">
        <is>
          <t>⚠️免打扰模式·报警阻断边界</t>
        </is>
      </c>
      <c r="E393" s="2" t="inlineStr">
        <is>
          <t>P0</t>
        </is>
      </c>
      <c r="F393" s="3" t="inlineStr">
        <is>
          <t>UI-07.2(FA-13语义)/OP-05.2</t>
        </is>
      </c>
      <c r="G393" s="3" t="inlineStr">
        <is>
          <t>进入「免打扰运行」模式 → 停留在任一操作页面 → 触发火警/故障</t>
        </is>
      </c>
      <c r="H393" s="3" t="inlineStr">
        <is>
          <t>UI-07.2：任何界面停留都不得阻断报警声光与联动；OP-05.2：调试态可收火警/故障信息但不启动联动输出</t>
        </is>
      </c>
      <c r="I393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3" s="8" t="inlineStr">
        <is>
          <t>待测</t>
        </is>
      </c>
      <c r="K393" s="2" t="n"/>
      <c r="L393" s="2" t="inlineStr">
        <is>
          <t>2026-08-18</t>
        </is>
      </c>
      <c r="M393" s="3" t="inlineStr">
        <is>
          <t>⚠️P0 安全边界，必须定论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UI-17.3</t>
        </is>
      </c>
      <c r="C394" s="3" t="inlineStr">
        <is>
          <t>人机菜单(产品级)</t>
        </is>
      </c>
      <c r="D394" s="3" t="inlineStr">
        <is>
          <t>⚠️免打扰模式·状态可区分与值班提示</t>
        </is>
      </c>
      <c r="E394" s="2" t="inlineStr">
        <is>
          <t>P2</t>
        </is>
      </c>
      <c r="F394" s="3" t="inlineStr">
        <is>
          <t>OP-05.3</t>
        </is>
      </c>
      <c r="G394" s="3" t="inlineStr">
        <is>
          <t>进入「免打扰运行」后观察：主界面/顶栏是否有区别标识；上传CRT的信息是否带标识</t>
        </is>
      </c>
      <c r="H394" s="3" t="inlineStr">
        <is>
          <t>OP-05.3：调试态与正常态可区分，传出信息有区别标识</t>
        </is>
      </c>
      <c r="I394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4" s="7" t="inlineStr">
        <is>
          <t>不通过</t>
        </is>
      </c>
      <c r="K394" s="2" t="n"/>
      <c r="L394" s="2" t="inlineStr">
        <is>
          <t>2026-08-18</t>
        </is>
      </c>
      <c r="M394" s="3" t="inlineStr">
        <is>
          <t>⚠️P0；测试人建议与 OP-05.3 要求一致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UI-18</t>
        </is>
      </c>
      <c r="C395" s="3" t="inlineStr">
        <is>
          <t>人机菜单(产品级)</t>
        </is>
      </c>
      <c r="D395" s="3" t="n"/>
      <c r="E395" s="2" t="inlineStr">
        <is>
          <t>P1</t>
        </is>
      </c>
      <c r="F395" s="3" t="inlineStr">
        <is>
          <t>—</t>
        </is>
      </c>
      <c r="G395" s="3" t="inlineStr">
        <is>
          <t>点位注册（总案）——注册新总线设备；故意注册重复地址</t>
        </is>
      </c>
      <c r="H395" s="3" t="inlineStr">
        <is>
          <t>见子项</t>
        </is>
      </c>
      <c r="I395" s="3" t="n"/>
      <c r="J395" s="2" t="inlineStr">
        <is>
          <t>通过</t>
        </is>
      </c>
      <c r="K395" s="2" t="n"/>
      <c r="L395" s="2" t="n"/>
      <c r="M395" s="3" t="n"/>
      <c r="N395" s="2" t="inlineStr">
        <is>
          <t>调试 / 点位注册</t>
        </is>
      </c>
    </row>
    <row r="396">
      <c r="A396" s="2" t="n">
        <v>395</v>
      </c>
      <c r="B396" s="2" t="inlineStr">
        <is>
          <t>UI-18.1</t>
        </is>
      </c>
      <c r="C396" s="3" t="inlineStr">
        <is>
          <t>人机菜单(产品级)</t>
        </is>
      </c>
      <c r="D396" s="3" t="inlineStr">
        <is>
          <t>正常注册</t>
        </is>
      </c>
      <c r="E396" s="2" t="inlineStr">
        <is>
          <t>P1</t>
        </is>
      </c>
      <c r="F396" s="3" t="inlineStr">
        <is>
          <t>—</t>
        </is>
      </c>
      <c r="G396" s="3" t="inlineStr">
        <is>
          <t>（见父案步骤）</t>
        </is>
      </c>
      <c r="H396" s="3" t="inlineStr">
        <is>
          <t>正常注册入表</t>
        </is>
      </c>
      <c r="I396" s="3" t="inlineStr">
        <is>
          <t>点位注册功能测试通过：可正常注册总线设备并入表</t>
        </is>
      </c>
      <c r="J396" s="5" t="inlineStr">
        <is>
          <t>通过</t>
        </is>
      </c>
      <c r="K396" s="2" t="n"/>
      <c r="L396" s="2" t="inlineStr">
        <is>
          <t>2026-08-18</t>
        </is>
      </c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UI-18.2</t>
        </is>
      </c>
      <c r="C397" s="3" t="inlineStr">
        <is>
          <t>人机菜单(产品级)</t>
        </is>
      </c>
      <c r="D397" s="3" t="inlineStr">
        <is>
          <t>重复地址拒绝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重复地址被检出拒绝</t>
        </is>
      </c>
      <c r="I397" s="3" t="inlineStr">
        <is>
          <t>⚠️否定测试未单独确认：需故意注册一个已存在的重复地址，验证是否被拒绝</t>
        </is>
      </c>
      <c r="J397" s="8" t="inlineStr">
        <is>
          <t>通过</t>
        </is>
      </c>
      <c r="K397" s="2" t="n"/>
      <c r="L397" s="2" t="inlineStr">
        <is>
          <t>2026-08-18</t>
        </is>
      </c>
      <c r="M397" s="3" t="inlineStr">
        <is>
          <t>否定测试，需单独执行</t>
        </is>
      </c>
      <c r="N397" s="2" t="inlineStr">
        <is>
          <t>调试 / 点位注册</t>
        </is>
      </c>
    </row>
    <row r="398">
      <c r="A398" s="2" t="n">
        <v>397</v>
      </c>
      <c r="B398" s="2" t="inlineStr">
        <is>
          <t>UI-18.3</t>
        </is>
      </c>
      <c r="C398" s="3" t="inlineStr">
        <is>
          <t>人机菜单(产品级)</t>
        </is>
      </c>
      <c r="D398" s="3" t="inlineStr">
        <is>
          <t>设备注册·返回按钮</t>
        </is>
      </c>
      <c r="E398" s="2" t="inlineStr">
        <is>
          <t>P1</t>
        </is>
      </c>
      <c r="F398" s="3" t="inlineStr">
        <is>
          <t>现场补充</t>
        </is>
      </c>
      <c r="G398" s="3" t="inlineStr">
        <is>
          <t>设备注册</t>
        </is>
      </c>
      <c r="H398" s="3" t="inlineStr">
        <is>
          <t>设备注册</t>
        </is>
      </c>
      <c r="I398" s="3" t="inlineStr">
        <is>
          <t>左上角返回按钮点击无响应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现场实测补充用例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UI-19</t>
        </is>
      </c>
      <c r="C399" s="3" t="inlineStr">
        <is>
          <t>人机菜单(产品级)</t>
        </is>
      </c>
      <c r="D399" s="3" t="n"/>
      <c r="E399" s="2" t="inlineStr">
        <is>
          <t>P1</t>
        </is>
      </c>
      <c r="F399" s="3" t="inlineStr">
        <is>
          <t>关联 WD-03</t>
        </is>
      </c>
      <c r="G399" s="3" t="inlineStr">
        <is>
          <t>配置导入（总案）——导入合法配置；导入中断电；导入损坏文件</t>
        </is>
      </c>
      <c r="H399" s="3" t="inlineStr">
        <is>
          <t>见子项</t>
        </is>
      </c>
      <c r="I399" s="3" t="inlineStr">
        <is>
          <t>功能未实现（菜单入口存在，功能未开发）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n"/>
      <c r="N399" s="2" t="inlineStr">
        <is>
          <t>调试 / 配置导入</t>
        </is>
      </c>
    </row>
    <row r="400">
      <c r="A400" s="2" t="n">
        <v>399</v>
      </c>
      <c r="B400" s="2" t="inlineStr">
        <is>
          <t>UI-20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关联联动逻辑</t>
        </is>
      </c>
      <c r="G400" s="3" t="inlineStr">
        <is>
          <t>联动编程（总案）——Ⅲ 级编辑与/或逻辑；未按确认前触发火警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联动编程</t>
        </is>
      </c>
    </row>
    <row r="401">
      <c r="A401" s="2" t="n">
        <v>400</v>
      </c>
      <c r="B401" s="2" t="inlineStr">
        <is>
          <t>UI-22</t>
        </is>
      </c>
      <c r="C401" s="3" t="inlineStr">
        <is>
          <t>人机菜单(产品级)</t>
        </is>
      </c>
      <c r="D401" s="3" t="inlineStr">
        <is>
          <t>联网注册</t>
        </is>
      </c>
      <c r="E401" s="2" t="inlineStr">
        <is>
          <t>P1</t>
        </is>
      </c>
      <c r="F401" s="3" t="inlineStr">
        <is>
          <t>关联 CM 组</t>
        </is>
      </c>
      <c r="G401" s="3" t="inlineStr">
        <is>
          <t>向 CRT/上级注册</t>
        </is>
      </c>
      <c r="H401" s="3" t="inlineStr">
        <is>
          <t>注册流程完成，对端可见本机</t>
        </is>
      </c>
      <c r="I401" s="4" t="inlineStr">
        <is>
          <t>（未填写原因，需补）</t>
        </is>
      </c>
      <c r="J401" s="6" t="inlineStr">
        <is>
          <t>通过</t>
        </is>
      </c>
      <c r="K401" s="2" t="n"/>
      <c r="L401" s="2" t="inlineStr">
        <is>
          <t>2026-08-18</t>
        </is>
      </c>
      <c r="M401" s="3" t="n"/>
      <c r="N401" s="2" t="inlineStr">
        <is>
          <t>调试 / 联网注册</t>
        </is>
      </c>
    </row>
    <row r="402">
      <c r="A402" s="2" t="n">
        <v>401</v>
      </c>
      <c r="B402" s="2" t="inlineStr">
        <is>
          <t>UI-24.1</t>
        </is>
      </c>
      <c r="C402" s="3" t="inlineStr">
        <is>
          <t>人机菜单(产品级)</t>
        </is>
      </c>
      <c r="D402" s="3" t="inlineStr">
        <is>
          <t>导出口径</t>
        </is>
      </c>
      <c r="E402" s="2" t="inlineStr">
        <is>
          <t>P1</t>
        </is>
      </c>
      <c r="F402" s="3" t="inlineStr">
        <is>
          <t>附录 B</t>
        </is>
      </c>
      <c r="G402" s="3" t="inlineStr">
        <is>
          <t>（见父案步骤）</t>
        </is>
      </c>
      <c r="H402" s="3" t="inlineStr">
        <is>
          <t>附录 B 口径：专用工具+授权、B/C 型母口 Device 模式</t>
        </is>
      </c>
      <c r="I402" s="3" t="n"/>
      <c r="J402" s="2" t="inlineStr">
        <is>
          <t>待测</t>
        </is>
      </c>
      <c r="K402" s="2" t="n"/>
      <c r="L402" s="2" t="n"/>
      <c r="M402" s="3" t="n"/>
      <c r="N402" s="2" t="inlineStr">
        <is>
          <t>维护 / 记录导出</t>
        </is>
      </c>
    </row>
    <row r="403">
      <c r="A403" s="2" t="n">
        <v>402</v>
      </c>
      <c r="B403" s="2" t="inlineStr">
        <is>
          <t>UI-24.2</t>
        </is>
      </c>
      <c r="C403" s="3" t="inlineStr">
        <is>
          <t>人机菜单(产品级)</t>
        </is>
      </c>
      <c r="D403" s="3" t="inlineStr">
        <is>
          <t>不影响记录本体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导出不影响记录本体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维护 / 记录导出</t>
        </is>
      </c>
    </row>
    <row r="404">
      <c r="A404" s="2" t="n">
        <v>403</v>
      </c>
      <c r="B404" s="2" t="inlineStr">
        <is>
          <t>UI-24.3</t>
        </is>
      </c>
      <c r="C404" s="3" t="inlineStr">
        <is>
          <t>人机菜单(产品级)</t>
        </is>
      </c>
      <c r="D404" s="3" t="inlineStr">
        <is>
          <t>导出行为记录</t>
        </is>
      </c>
      <c r="E404" s="2" t="inlineStr">
        <is>
          <t>P1</t>
        </is>
      </c>
      <c r="F404" s="3" t="inlineStr">
        <is>
          <t>附录 B</t>
        </is>
      </c>
      <c r="G404" s="3" t="inlineStr">
        <is>
          <t>（见父案步骤）</t>
        </is>
      </c>
      <c r="H404" s="3" t="inlineStr">
        <is>
          <t>导出行为进黑匣子</t>
        </is>
      </c>
      <c r="I404" s="3" t="n"/>
      <c r="J404" s="2" t="inlineStr">
        <is>
          <t>待测</t>
        </is>
      </c>
      <c r="K404" s="2" t="n"/>
      <c r="L404" s="2" t="n"/>
      <c r="M404" s="3" t="n"/>
      <c r="N404" s="2" t="inlineStr">
        <is>
          <t>维护 / 记录导出</t>
        </is>
      </c>
    </row>
    <row r="405">
      <c r="A405" s="2" t="n">
        <v>404</v>
      </c>
      <c r="B405" s="2" t="inlineStr">
        <is>
          <t>UI-25</t>
        </is>
      </c>
      <c r="C405" s="3" t="inlineStr">
        <is>
          <t>人机菜单(产品级)</t>
        </is>
      </c>
      <c r="D405" s="3" t="n"/>
      <c r="E405" s="2" t="inlineStr">
        <is>
          <t>P1</t>
        </is>
      </c>
      <c r="F405" s="3" t="inlineStr">
        <is>
          <t>B.1.1.3</t>
        </is>
      </c>
      <c r="G405" s="3" t="inlineStr">
        <is>
          <t>恢复出厂设置（总案）——高权限+二次确认执行；恢复后检查记录</t>
        </is>
      </c>
      <c r="H405" s="3" t="inlineStr">
        <is>
          <t>见子项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维护 / 恢复出厂设置</t>
        </is>
      </c>
    </row>
    <row r="406">
      <c r="A406" s="2" t="n">
        <v>405</v>
      </c>
      <c r="B406" s="2" t="inlineStr">
        <is>
          <t>UI-26</t>
        </is>
      </c>
      <c r="C406" s="3" t="inlineStr">
        <is>
          <t>人机菜单(产品级)</t>
        </is>
      </c>
      <c r="D406" s="3" t="inlineStr">
        <is>
          <t>检查页右上角返回按钮</t>
        </is>
      </c>
      <c r="E406" s="2" t="inlineStr">
        <is>
          <t>P1</t>
        </is>
      </c>
      <c r="F406" s="3" t="inlineStr">
        <is>
          <t>导航约定</t>
        </is>
      </c>
      <c r="G406" s="3" t="inlineStr">
        <is>
          <t>在检查页点击右上角按钮</t>
        </is>
      </c>
      <c r="H406" s="3" t="inlineStr">
        <is>
          <t>应为返回图标并返回上级页面（主页）；不应是菜单按钮/跳转信息显示页</t>
        </is>
      </c>
      <c r="I406" s="3" t="inlineStr">
        <is>
          <t>右上角为菜单按钮,点击进入信息显示页,非返回主页</t>
        </is>
      </c>
      <c r="J406" s="7" t="inlineStr">
        <is>
          <t>不通过</t>
        </is>
      </c>
      <c r="K406" s="2" t="n"/>
      <c r="L406" s="2" t="inlineStr">
        <is>
          <t>2026-08-18</t>
        </is>
      </c>
      <c r="M406" s="3" t="n"/>
      <c r="N406" s="2" t="n"/>
    </row>
    <row r="407">
      <c r="A407" s="2" t="n">
        <v>406</v>
      </c>
      <c r="B407" s="2" t="inlineStr">
        <is>
          <t>UI-27</t>
        </is>
      </c>
      <c r="C407" s="3" t="inlineStr">
        <is>
          <t>人机菜单(产品级)</t>
        </is>
      </c>
      <c r="D407" s="3" t="inlineStr">
        <is>
          <t>信息显示页右上角返回按钮</t>
        </is>
      </c>
      <c r="E407" s="2" t="inlineStr">
        <is>
          <t>P1</t>
        </is>
      </c>
      <c r="F407" s="3" t="inlineStr">
        <is>
          <t>导航约定</t>
        </is>
      </c>
      <c r="G407" s="3" t="inlineStr">
        <is>
          <t>在信息显示页点击右上角按钮</t>
        </is>
      </c>
      <c r="H407" s="3" t="inlineStr">
        <is>
          <t>应为返回图标并返回上级页面；导航通则：各二级页面右上角统一为返回上级</t>
        </is>
      </c>
      <c r="I407" s="3" t="inlineStr">
        <is>
          <t>右上角同样非返回</t>
        </is>
      </c>
      <c r="J407" s="7" t="inlineStr">
        <is>
          <t>不适用</t>
        </is>
      </c>
      <c r="K407" s="2" t="n"/>
      <c r="L407" s="2" t="inlineStr">
        <is>
          <t>2026-08-18</t>
        </is>
      </c>
      <c r="M407" s="3" t="n"/>
      <c r="N407" s="2" t="n"/>
    </row>
    <row r="408">
      <c r="A408" s="2" t="n">
        <v>407</v>
      </c>
      <c r="B408" s="2" t="inlineStr">
        <is>
          <t>UI-28</t>
        </is>
      </c>
      <c r="C408" s="3" t="inlineStr">
        <is>
          <t>人机菜单(产品级)</t>
        </is>
      </c>
      <c r="D408" s="3" t="inlineStr">
        <is>
          <t>信息显示时间格式</t>
        </is>
      </c>
      <c r="E408" s="2" t="inlineStr">
        <is>
          <t>P0</t>
        </is>
      </c>
      <c r="F408" s="3" t="inlineStr">
        <is>
          <t>5.4.1.11</t>
        </is>
      </c>
      <c r="G408" s="3" t="inlineStr">
        <is>
          <t>查看事件列表时间列</t>
        </is>
      </c>
      <c r="H408" s="3" t="inlineStr">
        <is>
          <t>须含年月日时分秒（实机当前"01月02日 00:20:58"缺年份，不满足）；同时时钟应校准（UI-14）</t>
        </is>
      </c>
      <c r="I408" s="3" t="inlineStr">
        <is>
          <t>时间显示"01月02日 00:20:58"缺年份</t>
        </is>
      </c>
      <c r="J408" s="7" t="inlineStr">
        <is>
          <t>不通过</t>
        </is>
      </c>
      <c r="K408" s="2" t="n"/>
      <c r="L408" s="2" t="inlineStr">
        <is>
          <t>2026-08-18</t>
        </is>
      </c>
      <c r="M408" s="3" t="n"/>
      <c r="N408" s="2" t="n"/>
    </row>
    <row r="409">
      <c r="A409" s="2" t="n">
        <v>408</v>
      </c>
      <c r="B409" s="2" t="inlineStr">
        <is>
          <t>GE-01</t>
        </is>
      </c>
      <c r="C409" s="3" t="inlineStr">
        <is>
          <t>气体灭火控制器</t>
        </is>
      </c>
      <c r="D409" s="3" t="inlineStr">
        <is>
          <t>禁止直收触发器件</t>
        </is>
      </c>
      <c r="E409" s="2" t="inlineStr">
        <is>
          <t>P0（设计红线）</t>
        </is>
      </c>
      <c r="F409" s="3" t="inlineStr">
        <is>
          <t>4.3.1.2</t>
        </is>
      </c>
      <c r="G409" s="3" t="inlineStr">
        <is>
          <t>设计检查 + 尝试将探测器/手报直接接入</t>
        </is>
      </c>
      <c r="H409" s="3" t="inlineStr">
        <is>
          <t>气灭控制器不应直接接收火灾报警触发器件的火灾报警信号（启动信号须来自消防联动控制器或现场启动按键）</t>
        </is>
      </c>
      <c r="I409" s="3" t="n"/>
      <c r="J409" s="2" t="inlineStr">
        <is>
          <t>通过</t>
        </is>
      </c>
      <c r="K409" s="2" t="n"/>
      <c r="L409" s="2" t="n"/>
      <c r="M409" s="3" t="n"/>
      <c r="N409" s="2" t="n"/>
    </row>
    <row r="410">
      <c r="A410" s="2" t="n">
        <v>409</v>
      </c>
      <c r="B410" s="2" t="inlineStr">
        <is>
          <t>GE-02</t>
        </is>
      </c>
      <c r="C410" s="3" t="inlineStr">
        <is>
          <t>气体灭火控制器</t>
        </is>
      </c>
      <c r="D410" s="3" t="n"/>
      <c r="E410" s="2" t="inlineStr">
        <is>
          <t>P0</t>
        </is>
      </c>
      <c r="F410" s="3" t="inlineStr">
        <is>
          <t>4.3.2.2 ↔ 5.3.1</t>
        </is>
      </c>
      <c r="G410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0" s="3" t="inlineStr">
        <is>
          <t>见子项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n"/>
    </row>
    <row r="411">
      <c r="A411" s="2" t="n">
        <v>410</v>
      </c>
      <c r="B411" s="2" t="inlineStr">
        <is>
          <t>GE-02.1</t>
        </is>
      </c>
      <c r="C411" s="3" t="inlineStr">
        <is>
          <t>气体灭火控制器</t>
        </is>
      </c>
      <c r="D411" s="3" t="inlineStr">
        <is>
          <t>① 启动声光与记录</t>
        </is>
      </c>
      <c r="E411" s="2" t="inlineStr">
        <is>
          <t>P0</t>
        </is>
      </c>
      <c r="F411" s="3" t="inlineStr">
        <is>
          <t>4.3.2.2 a)</t>
        </is>
      </c>
      <c r="G411" s="3" t="inlineStr">
        <is>
          <t>（见父案步骤）</t>
        </is>
      </c>
      <c r="H411" s="3" t="inlineStr">
        <is>
          <t>接收启动控制信号→发出启动声、光信号并记录时间</t>
        </is>
      </c>
      <c r="I411" s="3" t="n"/>
      <c r="J411" s="2" t="inlineStr">
        <is>
          <t>通过</t>
        </is>
      </c>
      <c r="K411" s="2" t="n"/>
      <c r="L411" s="2" t="n"/>
      <c r="M411" s="3" t="n"/>
      <c r="N411" s="2" t="n"/>
    </row>
    <row r="412">
      <c r="A412" s="2" t="n">
        <v>411</v>
      </c>
      <c r="B412" s="2" t="inlineStr">
        <is>
          <t>GE-02.2</t>
        </is>
      </c>
      <c r="C412" s="3" t="inlineStr">
        <is>
          <t>气体灭火控制器</t>
        </is>
      </c>
      <c r="D412" s="3" t="inlineStr">
        <is>
          <t>① 启动声可消</t>
        </is>
      </c>
      <c r="E412" s="2" t="inlineStr">
        <is>
          <t>P0</t>
        </is>
      </c>
      <c r="F412" s="3" t="inlineStr">
        <is>
          <t>4.3.2.2 a)</t>
        </is>
      </c>
      <c r="G412" s="3" t="inlineStr">
        <is>
          <t>（见父案步骤）</t>
        </is>
      </c>
      <c r="H412" s="3" t="inlineStr">
        <is>
          <t>启动声可手动消除</t>
        </is>
      </c>
      <c r="I412" s="3" t="n"/>
      <c r="J412" s="2" t="inlineStr">
        <is>
          <t>通过</t>
        </is>
      </c>
      <c r="K412" s="2" t="n"/>
      <c r="L412" s="2" t="n"/>
      <c r="M412" s="3" t="n"/>
      <c r="N412" s="2" t="n"/>
    </row>
    <row r="413">
      <c r="A413" s="2" t="n">
        <v>412</v>
      </c>
      <c r="B413" s="2" t="inlineStr">
        <is>
          <t>GE-02.3</t>
        </is>
      </c>
      <c r="C413" s="3" t="inlineStr">
        <is>
          <t>气体灭火控制器</t>
        </is>
      </c>
      <c r="D413" s="3" t="inlineStr">
        <is>
          <t>① 再启动</t>
        </is>
      </c>
      <c r="E413" s="2" t="inlineStr">
        <is>
          <t>P0</t>
        </is>
      </c>
      <c r="F413" s="3" t="inlineStr">
        <is>
          <t>4.3.2.2 a)</t>
        </is>
      </c>
      <c r="G413" s="3" t="inlineStr">
        <is>
          <t>（见父案步骤）</t>
        </is>
      </c>
      <c r="H413" s="3" t="inlineStr">
        <is>
          <t>再有启动控制信号输入时可再启动</t>
        </is>
      </c>
      <c r="I413" s="3" t="n"/>
      <c r="J413" s="2" t="inlineStr">
        <is>
          <t>通过</t>
        </is>
      </c>
      <c r="K413" s="2" t="n"/>
      <c r="L413" s="2" t="n"/>
      <c r="M413" s="3" t="n"/>
      <c r="N413" s="2" t="n"/>
    </row>
    <row r="414">
      <c r="A414" s="2" t="n">
        <v>413</v>
      </c>
      <c r="B414" s="2" t="inlineStr">
        <is>
          <t>GE-02.4</t>
        </is>
      </c>
      <c r="C414" s="3" t="inlineStr">
        <is>
          <t>气体灭火控制器</t>
        </is>
      </c>
      <c r="D414" s="3" t="inlineStr">
        <is>
          <t>② 声光警报器</t>
        </is>
      </c>
      <c r="E414" s="2" t="inlineStr">
        <is>
          <t>P0</t>
        </is>
      </c>
      <c r="F414" s="3" t="inlineStr">
        <is>
          <t>4.3.2.2 b)</t>
        </is>
      </c>
      <c r="G414" s="3" t="inlineStr">
        <is>
          <t>（见父案步骤）</t>
        </is>
      </c>
      <c r="H414" s="3" t="inlineStr">
        <is>
          <t>启动声光警报器</t>
        </is>
      </c>
      <c r="I414" s="3" t="n"/>
      <c r="J414" s="2" t="inlineStr">
        <is>
          <t>通过</t>
        </is>
      </c>
      <c r="K414" s="2" t="n"/>
      <c r="L414" s="2" t="n"/>
      <c r="M414" s="3" t="n"/>
      <c r="N414" s="2" t="n"/>
    </row>
    <row r="415">
      <c r="A415" s="2" t="n">
        <v>414</v>
      </c>
      <c r="B415" s="2" t="inlineStr">
        <is>
          <t>GE-02.5</t>
        </is>
      </c>
      <c r="C415" s="3" t="inlineStr">
        <is>
          <t>气体灭火控制器</t>
        </is>
      </c>
      <c r="D415" s="3" t="inlineStr">
        <is>
          <t>③ 延时光指示</t>
        </is>
      </c>
      <c r="E415" s="2" t="inlineStr">
        <is>
          <t>P0</t>
        </is>
      </c>
      <c r="F415" s="3" t="inlineStr">
        <is>
          <t>4.3.2.2 c)</t>
        </is>
      </c>
      <c r="G415" s="3" t="inlineStr">
        <is>
          <t>（见父案步骤）</t>
        </is>
      </c>
      <c r="H415" s="3" t="inlineStr">
        <is>
          <t>进入延时：延时期间有延时光指示</t>
        </is>
      </c>
      <c r="I415" s="3" t="n"/>
      <c r="J415" s="2" t="inlineStr">
        <is>
          <t>通过</t>
        </is>
      </c>
      <c r="K415" s="2" t="n"/>
      <c r="L415" s="2" t="n"/>
      <c r="M415" s="3" t="n"/>
      <c r="N415" s="2" t="n"/>
    </row>
    <row r="416">
      <c r="A416" s="2" t="n">
        <v>415</v>
      </c>
      <c r="B416" s="2" t="inlineStr">
        <is>
          <t>GE-02.6</t>
        </is>
      </c>
      <c r="C416" s="3" t="inlineStr">
        <is>
          <t>气体灭火控制器</t>
        </is>
      </c>
      <c r="D416" s="3" t="inlineStr">
        <is>
          <t>③ 延时显示</t>
        </is>
      </c>
      <c r="E416" s="2" t="inlineStr">
        <is>
          <t>P0</t>
        </is>
      </c>
      <c r="F416" s="3" t="inlineStr">
        <is>
          <t>4.3.2.2 c)</t>
        </is>
      </c>
      <c r="G416" s="3" t="inlineStr">
        <is>
          <t>（见父案步骤）</t>
        </is>
      </c>
      <c r="H416" s="3" t="inlineStr">
        <is>
          <t>显示延时时间和保护区域</t>
        </is>
      </c>
      <c r="I416" s="3" t="n"/>
      <c r="J416" s="2" t="inlineStr">
        <is>
          <t>通过</t>
        </is>
      </c>
      <c r="K416" s="2" t="n"/>
      <c r="L416" s="2" t="n"/>
      <c r="M416" s="3" t="n"/>
      <c r="N416" s="2" t="n"/>
    </row>
    <row r="417">
      <c r="A417" s="2" t="n">
        <v>416</v>
      </c>
      <c r="B417" s="2" t="inlineStr">
        <is>
          <t>GE-02.7</t>
        </is>
      </c>
      <c r="C417" s="3" t="inlineStr">
        <is>
          <t>气体灭火控制器</t>
        </is>
      </c>
      <c r="D417" s="3" t="inlineStr">
        <is>
          <t>③ 封舱动作</t>
        </is>
      </c>
      <c r="E417" s="2" t="inlineStr">
        <is>
          <t>P0</t>
        </is>
      </c>
      <c r="F417" s="3" t="inlineStr">
        <is>
          <t>4.3.2.2 c)</t>
        </is>
      </c>
      <c r="G417" s="3" t="inlineStr">
        <is>
          <t>（见父案步骤）</t>
        </is>
      </c>
      <c r="H417" s="3" t="inlineStr">
        <is>
          <t>关闭防火门窗/防火阀+停通风空调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n"/>
    </row>
    <row r="418">
      <c r="A418" s="2" t="n">
        <v>417</v>
      </c>
      <c r="B418" s="2" t="inlineStr">
        <is>
          <t>GE-02.8</t>
        </is>
      </c>
      <c r="C418" s="3" t="inlineStr">
        <is>
          <t>气体灭火控制器</t>
        </is>
      </c>
      <c r="D418" s="3" t="inlineStr">
        <is>
          <t>④ 喷洒控制信号</t>
        </is>
      </c>
      <c r="E418" s="2" t="inlineStr">
        <is>
          <t>P0</t>
        </is>
      </c>
      <c r="F418" s="3" t="inlineStr">
        <is>
          <t>4.3.2.2 d)</t>
        </is>
      </c>
      <c r="G418" s="3" t="inlineStr">
        <is>
          <t>（见父案步骤）</t>
        </is>
      </c>
      <c r="H418" s="3" t="inlineStr">
        <is>
          <t>延时结束发启动喷洒控制信号+光指示</t>
        </is>
      </c>
      <c r="I418" s="3" t="n"/>
      <c r="J418" s="2" t="inlineStr">
        <is>
          <t>通过</t>
        </is>
      </c>
      <c r="K418" s="2" t="n"/>
      <c r="L418" s="2" t="n"/>
      <c r="M418" s="3" t="n"/>
      <c r="N418" s="2" t="n"/>
    </row>
    <row r="419">
      <c r="A419" s="2" t="n">
        <v>418</v>
      </c>
      <c r="B419" s="2" t="inlineStr">
        <is>
          <t>GE-02.9</t>
        </is>
      </c>
      <c r="C419" s="3" t="inlineStr">
        <is>
          <t>气体灭火控制器</t>
        </is>
      </c>
      <c r="D419" s="3" t="inlineStr">
        <is>
          <t>④ 喷洒光警报器</t>
        </is>
      </c>
      <c r="E419" s="2" t="inlineStr">
        <is>
          <t>P0</t>
        </is>
      </c>
      <c r="F419" s="3" t="inlineStr">
        <is>
          <t>4.3.2.2 d)</t>
        </is>
      </c>
      <c r="G419" s="3" t="inlineStr">
        <is>
          <t>（见父案步骤）</t>
        </is>
      </c>
      <c r="H419" s="3" t="inlineStr">
        <is>
          <t>启动喷洒光警报器</t>
        </is>
      </c>
      <c r="I419" s="3" t="n"/>
      <c r="J419" s="2" t="inlineStr">
        <is>
          <t>通过</t>
        </is>
      </c>
      <c r="K419" s="2" t="n"/>
      <c r="L419" s="2" t="n"/>
      <c r="M419" s="3" t="n"/>
      <c r="N419" s="2" t="n"/>
    </row>
    <row r="420">
      <c r="A420" s="2" t="n">
        <v>419</v>
      </c>
      <c r="B420" s="2" t="inlineStr">
        <is>
          <t>GE-02.10</t>
        </is>
      </c>
      <c r="C420" s="3" t="inlineStr">
        <is>
          <t>气体灭火控制器</t>
        </is>
      </c>
      <c r="D420" s="3" t="inlineStr">
        <is>
          <t>⑤ 喷洒声光</t>
        </is>
      </c>
      <c r="E420" s="2" t="inlineStr">
        <is>
          <t>P0</t>
        </is>
      </c>
      <c r="F420" s="3" t="inlineStr">
        <is>
          <t>4.3.2.2 e)</t>
        </is>
      </c>
      <c r="G420" s="3" t="inlineStr">
        <is>
          <t>（见父案步骤）</t>
        </is>
      </c>
      <c r="H420" s="3" t="inlineStr">
        <is>
          <t>喷洒阶段发出相应声光保持至复位并记录时间</t>
        </is>
      </c>
      <c r="I420" s="3" t="n"/>
      <c r="J420" s="2" t="inlineStr">
        <is>
          <t>通过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GE-03</t>
        </is>
      </c>
      <c r="C421" s="3" t="inlineStr">
        <is>
          <t>气体灭火控制器</t>
        </is>
      </c>
      <c r="D421" s="3" t="n"/>
      <c r="E421" s="2" t="inlineStr">
        <is>
          <t>P0</t>
        </is>
      </c>
      <c r="F421" s="3" t="inlineStr">
        <is>
          <t>4.3.2.3 ↔ 5.3.1</t>
        </is>
      </c>
      <c r="G421" s="3" t="inlineStr">
        <is>
          <t>延时设置与手动中止（总案）——调整延时值；延时期间执行手动停止</t>
        </is>
      </c>
      <c r="H421" s="3" t="inlineStr">
        <is>
          <t>见子项</t>
        </is>
      </c>
      <c r="I421" s="3" t="n"/>
      <c r="J421" s="2" t="inlineStr">
        <is>
          <t>不通过</t>
        </is>
      </c>
      <c r="K421" s="2" t="n"/>
      <c r="L421" s="2" t="n"/>
      <c r="M421" s="3" t="inlineStr">
        <is>
          <t>⚠️红线：延时0～30s可调+手动停止是GB16806必做项，不通过必须整改（非可选）</t>
        </is>
      </c>
      <c r="N421" s="2" t="n"/>
    </row>
    <row r="422">
      <c r="A422" s="2" t="n">
        <v>421</v>
      </c>
      <c r="B422" s="2" t="inlineStr">
        <is>
          <t>GE-03.1</t>
        </is>
      </c>
      <c r="C422" s="3" t="inlineStr">
        <is>
          <t>气体灭火控制器</t>
        </is>
      </c>
      <c r="D422" s="3" t="inlineStr">
        <is>
          <t>延时范围</t>
        </is>
      </c>
      <c r="E422" s="2" t="inlineStr">
        <is>
          <t>P0</t>
        </is>
      </c>
      <c r="F422" s="3" t="inlineStr">
        <is>
          <t>4.3.2.3</t>
        </is>
      </c>
      <c r="G422" s="3" t="inlineStr">
        <is>
          <t>（见父案步骤）</t>
        </is>
      </c>
      <c r="H422" s="3" t="inlineStr">
        <is>
          <t>延时 0～30 s 可调</t>
        </is>
      </c>
      <c r="I422" s="3" t="n"/>
      <c r="J422" s="2" t="inlineStr">
        <is>
          <t>不通过</t>
        </is>
      </c>
      <c r="K422" s="2" t="n"/>
      <c r="L422" s="2" t="n"/>
      <c r="M422" s="3" t="n"/>
      <c r="N422" s="2" t="n"/>
    </row>
    <row r="423">
      <c r="A423" s="2" t="n">
        <v>422</v>
      </c>
      <c r="B423" s="2" t="inlineStr">
        <is>
          <t>GE-03.2</t>
        </is>
      </c>
      <c r="C423" s="3" t="inlineStr">
        <is>
          <t>气体灭火控制器</t>
        </is>
      </c>
      <c r="D423" s="3" t="inlineStr">
        <is>
          <t>手动停止</t>
        </is>
      </c>
      <c r="E423" s="2" t="inlineStr">
        <is>
          <t>P0</t>
        </is>
      </c>
      <c r="F423" s="3" t="inlineStr">
        <is>
          <t>4.3.2.3</t>
        </is>
      </c>
      <c r="G423" s="3" t="inlineStr">
        <is>
          <t>（见父案步骤）</t>
        </is>
      </c>
      <c r="H423" s="3" t="inlineStr">
        <is>
          <t>延时期间能手动停止后续动作</t>
        </is>
      </c>
      <c r="I423" s="3" t="n"/>
      <c r="J423" s="2" t="inlineStr">
        <is>
          <t>通过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GE-04</t>
        </is>
      </c>
      <c r="C424" s="3" t="inlineStr">
        <is>
          <t>气体灭火控制器</t>
        </is>
      </c>
      <c r="D424" s="3" t="n"/>
      <c r="E424" s="2" t="inlineStr">
        <is>
          <t>P0</t>
        </is>
      </c>
      <c r="F424" s="3" t="inlineStr">
        <is>
          <t>4.3.2.4 ↔ 5.3.1</t>
        </is>
      </c>
      <c r="G424" s="3" t="inlineStr">
        <is>
          <t>手/自动与优先级（总案）——切换手/自动并复位；自动运行中手动插入；手动停止后再输入启动信号</t>
        </is>
      </c>
      <c r="H424" s="3" t="inlineStr">
        <is>
          <t>见子项</t>
        </is>
      </c>
      <c r="I424" s="3" t="n"/>
      <c r="J424" s="2" t="inlineStr">
        <is>
          <t>通过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GE-04.1</t>
        </is>
      </c>
      <c r="C425" s="3" t="inlineStr">
        <is>
          <t>气体灭火控制器</t>
        </is>
      </c>
      <c r="D425" s="3" t="inlineStr">
        <is>
          <t>状态指示</t>
        </is>
      </c>
      <c r="E425" s="2" t="inlineStr">
        <is>
          <t>P0</t>
        </is>
      </c>
      <c r="F425" s="3" t="inlineStr">
        <is>
          <t>4.3.2.4</t>
        </is>
      </c>
      <c r="G425" s="3" t="inlineStr">
        <is>
          <t>（见父案步骤）</t>
        </is>
      </c>
      <c r="H425" s="3" t="inlineStr">
        <is>
          <t>有控制状态指示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GE-04.2</t>
        </is>
      </c>
      <c r="C426" s="3" t="inlineStr">
        <is>
          <t>气体灭火控制器</t>
        </is>
      </c>
      <c r="D426" s="3" t="inlineStr">
        <is>
          <t>复位不改状态</t>
        </is>
      </c>
      <c r="E426" s="2" t="inlineStr">
        <is>
          <t>P0</t>
        </is>
      </c>
      <c r="F426" s="3" t="inlineStr">
        <is>
          <t>4.3.2.4</t>
        </is>
      </c>
      <c r="G426" s="3" t="inlineStr">
        <is>
          <t>（见父案步骤）</t>
        </is>
      </c>
      <c r="H426" s="3" t="inlineStr">
        <is>
          <t>状态不受复位影响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GE-04.3</t>
        </is>
      </c>
      <c r="C427" s="3" t="inlineStr">
        <is>
          <t>气体灭火控制器</t>
        </is>
      </c>
      <c r="D427" s="3" t="inlineStr">
        <is>
          <t>手动插入优先</t>
        </is>
      </c>
      <c r="E427" s="2" t="inlineStr">
        <is>
          <t>P0</t>
        </is>
      </c>
      <c r="F427" s="3" t="inlineStr">
        <is>
          <t>4.3.2.4</t>
        </is>
      </c>
      <c r="G427" s="3" t="inlineStr">
        <is>
          <t>（见父案步骤）</t>
        </is>
      </c>
      <c r="H427" s="3" t="inlineStr">
        <is>
          <t>自动下手动插入优先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GE-04.4</t>
        </is>
      </c>
      <c r="C428" s="3" t="inlineStr">
        <is>
          <t>气体灭火控制器</t>
        </is>
      </c>
      <c r="D428" s="3" t="inlineStr">
        <is>
          <t>停止后可再启动</t>
        </is>
      </c>
      <c r="E428" s="2" t="inlineStr">
        <is>
          <t>P0</t>
        </is>
      </c>
      <c r="F428" s="3" t="inlineStr">
        <is>
          <t>4.3.2.4</t>
        </is>
      </c>
      <c r="G428" s="3" t="inlineStr">
        <is>
          <t>（见父案步骤）</t>
        </is>
      </c>
      <c r="H428" s="3" t="inlineStr">
        <is>
          <t>手动停止后再有启动信号仍按预置逻辑工作</t>
        </is>
      </c>
      <c r="I428" s="3" t="n"/>
      <c r="J428" s="2" t="inlineStr">
        <is>
          <t>通过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GE-05</t>
        </is>
      </c>
      <c r="C429" s="3" t="inlineStr">
        <is>
          <t>气体灭火控制器</t>
        </is>
      </c>
      <c r="D429" s="3" t="inlineStr">
        <is>
          <t>声信号优先级</t>
        </is>
      </c>
      <c r="E429" s="2" t="inlineStr">
        <is>
          <t>P1</t>
        </is>
      </c>
      <c r="F429" s="3" t="inlineStr">
        <is>
          <t>4.3.2.5 ↔ 5.3.1</t>
        </is>
      </c>
      <c r="G429" s="3" t="inlineStr">
        <is>
          <t>使喷洒声、启动声、故障声两两同时存在</t>
        </is>
      </c>
      <c r="H429" s="3" t="inlineStr">
        <is>
          <t>喷洒声 &gt; 启动控制声 &gt; 故障声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GE-06</t>
        </is>
      </c>
      <c r="C430" s="3" t="inlineStr">
        <is>
          <t>气体灭火控制器</t>
        </is>
      </c>
      <c r="D430" s="3" t="inlineStr">
        <is>
          <t>接收联动信号</t>
        </is>
      </c>
      <c r="E430" s="2" t="inlineStr">
        <is>
          <t>P0</t>
        </is>
      </c>
      <c r="F430" s="3" t="inlineStr">
        <is>
          <t>4.3.2.6</t>
        </is>
      </c>
      <c r="G430" s="3" t="inlineStr">
        <is>
          <t>消防联动控制器下发联动信号</t>
        </is>
      </c>
      <c r="H430" s="3" t="inlineStr">
        <is>
          <t>正确接收并按逻辑执行</t>
        </is>
      </c>
      <c r="I430" s="3" t="inlineStr">
        <is>
          <t>接收联动信号：手报不算，紧急启停或者多个烟感温感设备才算</t>
        </is>
      </c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GE-07</t>
        </is>
      </c>
      <c r="C431" s="3" t="inlineStr">
        <is>
          <t>气体灭火控制器</t>
        </is>
      </c>
      <c r="D431" s="3" t="n"/>
      <c r="E431" s="2" t="inlineStr">
        <is>
          <t>P1</t>
        </is>
      </c>
      <c r="F431" s="3" t="inlineStr">
        <is>
          <t>4.3.2.7/4.3.2.8 ↔ 5.3.1</t>
        </is>
      </c>
      <c r="G431" s="3" t="inlineStr">
        <is>
          <t>分区警报器与分区指示（总案）——逐区启动/停止声光警报器</t>
        </is>
      </c>
      <c r="H431" s="3" t="inlineStr">
        <is>
          <t>见子项</t>
        </is>
      </c>
      <c r="I431" s="3" t="n"/>
      <c r="J431" s="2" t="inlineStr">
        <is>
          <t>通过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GE-07.1</t>
        </is>
      </c>
      <c r="C432" s="3" t="inlineStr">
        <is>
          <t>气体灭火控制器</t>
        </is>
      </c>
      <c r="D432" s="3" t="inlineStr">
        <is>
          <t>分区启停</t>
        </is>
      </c>
      <c r="E432" s="2" t="inlineStr">
        <is>
          <t>P1</t>
        </is>
      </c>
      <c r="F432" s="3" t="inlineStr">
        <is>
          <t>4.3.2.7</t>
        </is>
      </c>
      <c r="G432" s="3" t="inlineStr">
        <is>
          <t>（见父案步骤）</t>
        </is>
      </c>
      <c r="H432" s="3" t="inlineStr">
        <is>
          <t>可分区启动和停止保护区域声光警报器</t>
        </is>
      </c>
      <c r="I432" s="3" t="n"/>
      <c r="J432" s="2" t="inlineStr">
        <is>
          <t>通过</t>
        </is>
      </c>
      <c r="K432" s="2" t="n"/>
      <c r="L432" s="2" t="n"/>
      <c r="M432" s="3" t="n"/>
      <c r="N432" s="2" t="n"/>
    </row>
    <row r="433">
      <c r="A433" s="2" t="n">
        <v>432</v>
      </c>
      <c r="B433" s="2" t="inlineStr">
        <is>
          <t>GE-07.2</t>
        </is>
      </c>
      <c r="C433" s="3" t="inlineStr">
        <is>
          <t>气体灭火控制器</t>
        </is>
      </c>
      <c r="D433" s="3" t="inlineStr">
        <is>
          <t>分区状态灯</t>
        </is>
      </c>
      <c r="E433" s="2" t="inlineStr">
        <is>
          <t>P1</t>
        </is>
      </c>
      <c r="F433" s="3" t="inlineStr">
        <is>
          <t>4.3.2.8</t>
        </is>
      </c>
      <c r="G433" s="3" t="inlineStr">
        <is>
          <t>（见父案步骤）</t>
        </is>
      </c>
      <c r="H433" s="3" t="inlineStr">
        <is>
          <t>每个保护区域有独立工作状态指示灯</t>
        </is>
      </c>
      <c r="I433" s="3" t="n"/>
      <c r="J433" s="2" t="inlineStr">
        <is>
          <t>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GE-08</t>
        </is>
      </c>
      <c r="C434" s="3" t="inlineStr">
        <is>
          <t>气体灭火控制器</t>
        </is>
      </c>
      <c r="D434" s="3" t="n"/>
      <c r="E434" s="2" t="inlineStr">
        <is>
          <t>P0</t>
        </is>
      </c>
      <c r="F434" s="3" t="inlineStr">
        <is>
          <t>4.3.2.9 ↔ 5.3.1</t>
        </is>
      </c>
      <c r="G434" s="3" t="inlineStr">
        <is>
          <t>向联动控制器上报（总案）——触发各阶段，在联动控制器（或模拟器）端核对</t>
        </is>
      </c>
      <c r="H434" s="3" t="inlineStr">
        <is>
          <t>见子项</t>
        </is>
      </c>
      <c r="I434" s="3" t="n"/>
      <c r="J434" s="2" t="inlineStr">
        <is>
          <t>待测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GE-08.1</t>
        </is>
      </c>
      <c r="C435" s="3" t="inlineStr">
        <is>
          <t>气体灭火控制器</t>
        </is>
      </c>
      <c r="D435" s="3" t="inlineStr">
        <is>
          <t>启动控制信号</t>
        </is>
      </c>
      <c r="E435" s="2" t="inlineStr">
        <is>
          <t>P0</t>
        </is>
      </c>
      <c r="F435" s="3" t="inlineStr">
        <is>
          <t>4.3.2.9</t>
        </is>
      </c>
      <c r="G435" s="3" t="inlineStr">
        <is>
          <t>（见父案步骤）</t>
        </is>
      </c>
      <c r="H435" s="3" t="inlineStr">
        <is>
          <t>能发送启动控制信号</t>
        </is>
      </c>
      <c r="I435" s="3" t="n"/>
      <c r="J435" s="2" t="inlineStr">
        <is>
          <t>通过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GE-08.2</t>
        </is>
      </c>
      <c r="C436" s="3" t="inlineStr">
        <is>
          <t>气体灭火控制器</t>
        </is>
      </c>
      <c r="D436" s="3" t="inlineStr">
        <is>
          <t>延时信号</t>
        </is>
      </c>
      <c r="E436" s="2" t="inlineStr">
        <is>
          <t>P0</t>
        </is>
      </c>
      <c r="F436" s="3" t="inlineStr">
        <is>
          <t>4.3.2.9</t>
        </is>
      </c>
      <c r="G436" s="3" t="inlineStr">
        <is>
          <t>（见父案步骤）</t>
        </is>
      </c>
      <c r="H436" s="3" t="inlineStr">
        <is>
          <t>能发送延时信号</t>
        </is>
      </c>
      <c r="I436" s="3" t="n"/>
      <c r="J436" s="2" t="inlineStr">
        <is>
          <t>通过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GE-08.3</t>
        </is>
      </c>
      <c r="C437" s="3" t="inlineStr">
        <is>
          <t>气体灭火控制器</t>
        </is>
      </c>
      <c r="D437" s="3" t="inlineStr">
        <is>
          <t>启动喷洒控制信号</t>
        </is>
      </c>
      <c r="E437" s="2" t="inlineStr">
        <is>
          <t>P0</t>
        </is>
      </c>
      <c r="F437" s="3" t="inlineStr">
        <is>
          <t>4.3.2.9</t>
        </is>
      </c>
      <c r="G437" s="3" t="inlineStr">
        <is>
          <t>（见父案步骤）</t>
        </is>
      </c>
      <c r="H437" s="3" t="inlineStr">
        <is>
          <t>能发送启动喷洒控制信号</t>
        </is>
      </c>
      <c r="I437" s="3" t="n"/>
      <c r="J437" s="2" t="inlineStr">
        <is>
          <t>通过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GE-08.4</t>
        </is>
      </c>
      <c r="C438" s="3" t="inlineStr">
        <is>
          <t>气体灭火控制器</t>
        </is>
      </c>
      <c r="D438" s="3" t="inlineStr">
        <is>
          <t>气体喷洒信号</t>
        </is>
      </c>
      <c r="E438" s="2" t="inlineStr">
        <is>
          <t>P0</t>
        </is>
      </c>
      <c r="F438" s="3" t="inlineStr">
        <is>
          <t>4.3.2.9</t>
        </is>
      </c>
      <c r="G438" s="3" t="inlineStr">
        <is>
          <t>（见父案步骤）</t>
        </is>
      </c>
      <c r="H438" s="3" t="inlineStr">
        <is>
          <t>能发送气体喷洒信号</t>
        </is>
      </c>
      <c r="I438" s="3" t="n"/>
      <c r="J438" s="2" t="inlineStr">
        <is>
          <t>通过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GE-08.5</t>
        </is>
      </c>
      <c r="C439" s="3" t="inlineStr">
        <is>
          <t>气体灭火控制器</t>
        </is>
      </c>
      <c r="D439" s="3" t="inlineStr">
        <is>
          <t>故障信号</t>
        </is>
      </c>
      <c r="E439" s="2" t="inlineStr">
        <is>
          <t>P0</t>
        </is>
      </c>
      <c r="F439" s="3" t="inlineStr">
        <is>
          <t>4.3.2.9</t>
        </is>
      </c>
      <c r="G439" s="3" t="inlineStr">
        <is>
          <t>（见父案步骤）</t>
        </is>
      </c>
      <c r="H439" s="3" t="inlineStr">
        <is>
          <t>能发送故障信号</t>
        </is>
      </c>
      <c r="I439" s="3" t="n"/>
      <c r="J439" s="2" t="inlineStr">
        <is>
          <t>通过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GE-08.6</t>
        </is>
      </c>
      <c r="C440" s="3" t="inlineStr">
        <is>
          <t>气体灭火控制器</t>
        </is>
      </c>
      <c r="D440" s="3" t="inlineStr">
        <is>
          <t>阀动作信息</t>
        </is>
      </c>
      <c r="E440" s="2" t="inlineStr">
        <is>
          <t>P0</t>
        </is>
      </c>
      <c r="F440" s="3" t="inlineStr">
        <is>
          <t>4.3.2.9</t>
        </is>
      </c>
      <c r="G440" s="3" t="inlineStr">
        <is>
          <t>（见父案步骤）</t>
        </is>
      </c>
      <c r="H440" s="3" t="inlineStr">
        <is>
          <t>能发送选择阀和瓶头阀动作信息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GE-09</t>
        </is>
      </c>
      <c r="C441" s="3" t="inlineStr">
        <is>
          <t>气体灭火控制器</t>
        </is>
      </c>
      <c r="D441" s="3" t="n"/>
      <c r="E441" s="2" t="inlineStr">
        <is>
          <t>P0</t>
        </is>
      </c>
      <c r="F441" s="3" t="inlineStr">
        <is>
          <t>4.3.2.11 ↔ 5.3.1</t>
        </is>
      </c>
      <c r="G441" s="3" t="inlineStr">
        <is>
          <t>复位与状态重建（总案）——启动保持状态下手动复位，计时</t>
        </is>
      </c>
      <c r="H441" s="3" t="inlineStr">
        <is>
          <t>见子项</t>
        </is>
      </c>
      <c r="I441" s="3" t="n"/>
      <c r="J441" s="2" t="inlineStr">
        <is>
          <t>通过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GE-09.1</t>
        </is>
      </c>
      <c r="C442" s="3" t="inlineStr">
        <is>
          <t>气体灭火控制器</t>
        </is>
      </c>
      <c r="D442" s="3" t="inlineStr">
        <is>
          <t>复位按键</t>
        </is>
      </c>
      <c r="E442" s="2" t="inlineStr">
        <is>
          <t>P0</t>
        </is>
      </c>
      <c r="F442" s="3" t="inlineStr">
        <is>
          <t>4.3.2.11</t>
        </is>
      </c>
      <c r="G442" s="3" t="inlineStr">
        <is>
          <t>（见父案步骤）</t>
        </is>
      </c>
      <c r="H442" s="3" t="inlineStr">
        <is>
          <t>设复位按键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GE-09.2</t>
        </is>
      </c>
      <c r="C443" s="3" t="inlineStr">
        <is>
          <t>气体灭火控制器</t>
        </is>
      </c>
      <c r="D443" s="3" t="inlineStr">
        <is>
          <t>状态重建</t>
        </is>
      </c>
      <c r="E443" s="2" t="inlineStr">
        <is>
          <t>P0</t>
        </is>
      </c>
      <c r="F443" s="3" t="inlineStr">
        <is>
          <t>4.3.2.11</t>
        </is>
      </c>
      <c r="G443" s="3" t="inlineStr">
        <is>
          <t>（见父案步骤）</t>
        </is>
      </c>
      <c r="H443" s="3" t="inlineStr">
        <is>
          <t>复位后仍存在的状态和信息保持或 ≤20 s 重新建立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GE-10</t>
        </is>
      </c>
      <c r="C444" s="3" t="inlineStr">
        <is>
          <t>气体灭火控制器</t>
        </is>
      </c>
      <c r="D444" s="3" t="n"/>
      <c r="E444" s="2" t="inlineStr">
        <is>
          <t>P1</t>
        </is>
      </c>
      <c r="F444" s="3" t="inlineStr">
        <is>
          <t>4.3.2.12 ↔ 5.3.1</t>
        </is>
      </c>
      <c r="G444" s="3" t="inlineStr">
        <is>
          <t>计时精度（总案）——连续运行 24 h 比对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GE-10.1</t>
        </is>
      </c>
      <c r="C445" s="3" t="inlineStr">
        <is>
          <t>气体灭火控制器</t>
        </is>
      </c>
      <c r="D445" s="3" t="inlineStr">
        <is>
          <t>日计时误差</t>
        </is>
      </c>
      <c r="E445" s="2" t="inlineStr">
        <is>
          <t>P1</t>
        </is>
      </c>
      <c r="F445" s="3" t="inlineStr">
        <is>
          <t>4.3.2.12</t>
        </is>
      </c>
      <c r="G445" s="3" t="inlineStr">
        <is>
          <t>（见父案步骤）</t>
        </is>
      </c>
      <c r="H445" s="3" t="inlineStr">
        <is>
          <t>日计时误差 ≤30 s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GE-10.2</t>
        </is>
      </c>
      <c r="C446" s="3" t="inlineStr">
        <is>
          <t>气体灭火控制器</t>
        </is>
      </c>
      <c r="D446" s="3" t="inlineStr">
        <is>
          <t>打印时间格式</t>
        </is>
      </c>
      <c r="E446" s="2" t="inlineStr">
        <is>
          <t>P1</t>
        </is>
      </c>
      <c r="F446" s="3" t="inlineStr">
        <is>
          <t>4.3.2.12</t>
        </is>
      </c>
      <c r="G446" s="3" t="inlineStr">
        <is>
          <t>（见父案步骤）</t>
        </is>
      </c>
      <c r="H446" s="3" t="inlineStr">
        <is>
          <t>打印含月日时分</t>
        </is>
      </c>
      <c r="I446" s="4" t="inlineStr">
        <is>
          <t>（未填写原因，需补）</t>
        </is>
      </c>
      <c r="J446" s="6" t="inlineStr">
        <is>
          <t>不适用</t>
        </is>
      </c>
      <c r="K446" s="2" t="n"/>
      <c r="L446" s="2" t="inlineStr">
        <is>
          <t>2026-08-18</t>
        </is>
      </c>
      <c r="M446" s="3" t="n"/>
      <c r="N446" s="2" t="n"/>
    </row>
    <row r="447">
      <c r="A447" s="2" t="n">
        <v>446</v>
      </c>
      <c r="B447" s="2" t="inlineStr">
        <is>
          <t>GE-10.3</t>
        </is>
      </c>
      <c r="C447" s="3" t="inlineStr">
        <is>
          <t>气体灭火控制器</t>
        </is>
      </c>
      <c r="D447" s="3" t="inlineStr">
        <is>
          <t>记录通道</t>
        </is>
      </c>
      <c r="E447" s="2" t="inlineStr">
        <is>
          <t>P1</t>
        </is>
      </c>
      <c r="F447" s="3" t="inlineStr">
        <is>
          <t>4.3.2.12</t>
        </is>
      </c>
      <c r="G447" s="3" t="inlineStr">
        <is>
          <t>（见父案步骤）</t>
        </is>
      </c>
      <c r="H447" s="3" t="inlineStr">
        <is>
          <t>不能仅用打印机记录</t>
        </is>
      </c>
      <c r="I447" s="3" t="n"/>
      <c r="J447" s="2" t="inlineStr">
        <is>
          <t>通过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GE-11</t>
        </is>
      </c>
      <c r="C448" s="3" t="inlineStr">
        <is>
          <t>气体灭火控制器</t>
        </is>
      </c>
      <c r="D448" s="3" t="inlineStr">
        <is>
          <t>输出特性</t>
        </is>
      </c>
      <c r="E448" s="2" t="inlineStr">
        <is>
          <t>P1</t>
        </is>
      </c>
      <c r="F448" s="3" t="inlineStr">
        <is>
          <t>4.3.2.10 ↔ 5.3.1</t>
        </is>
      </c>
      <c r="G448" s="3" t="inlineStr">
        <is>
          <t>测输出接点电压/电流/容量</t>
        </is>
      </c>
      <c r="H448" s="3" t="inlineStr">
        <is>
          <t>满足制造商规定</t>
        </is>
      </c>
      <c r="I448" s="3" t="n"/>
      <c r="J448" s="2" t="inlineStr">
        <is>
          <t>通过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GE-12</t>
        </is>
      </c>
      <c r="C449" s="3" t="inlineStr">
        <is>
          <t>气体灭火控制器</t>
        </is>
      </c>
      <c r="D449" s="3" t="n"/>
      <c r="E449" s="2" t="inlineStr">
        <is>
          <t>P0</t>
        </is>
      </c>
      <c r="F449" s="3" t="inlineStr">
        <is>
          <t>4.3.3.1/4.3.3.2 ↔ 5.3.2</t>
        </is>
      </c>
      <c r="G449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49" s="3" t="inlineStr">
        <is>
          <t>见子项</t>
        </is>
      </c>
      <c r="I449" s="3" t="n"/>
      <c r="J449" s="2" t="inlineStr">
        <is>
          <t>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GE-12.1</t>
        </is>
      </c>
      <c r="C450" s="3" t="inlineStr">
        <is>
          <t>气体灭火控制器</t>
        </is>
      </c>
      <c r="D450" s="3" t="inlineStr">
        <is>
          <t>故障声光时限</t>
        </is>
      </c>
      <c r="E450" s="2" t="inlineStr">
        <is>
          <t>P0</t>
        </is>
      </c>
      <c r="F450" s="3" t="inlineStr">
        <is>
          <t>4.3.3.1</t>
        </is>
      </c>
      <c r="G450" s="3" t="inlineStr">
        <is>
          <t>（见父案步骤）</t>
        </is>
      </c>
      <c r="H450" s="3" t="inlineStr">
        <is>
          <t>≤100 s 故障声光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GE-12.2</t>
        </is>
      </c>
      <c r="C451" s="3" t="inlineStr">
        <is>
          <t>气体灭火控制器</t>
        </is>
      </c>
      <c r="D451" s="3" t="inlineStr">
        <is>
          <t>声可消可再启动</t>
        </is>
      </c>
      <c r="E451" s="2" t="inlineStr">
        <is>
          <t>P0</t>
        </is>
      </c>
      <c r="F451" s="3" t="inlineStr">
        <is>
          <t>4.3.3.1</t>
        </is>
      </c>
      <c r="G451" s="3" t="inlineStr">
        <is>
          <t>（见父案步骤）</t>
        </is>
      </c>
      <c r="H451" s="3" t="inlineStr">
        <is>
          <t>故障声可消可再启动</t>
        </is>
      </c>
      <c r="I451" s="3" t="n"/>
      <c r="J451" s="2" t="inlineStr">
        <is>
          <t>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GE-12.3</t>
        </is>
      </c>
      <c r="C452" s="3" t="inlineStr">
        <is>
          <t>气体灭火控制器</t>
        </is>
      </c>
      <c r="D452" s="3" t="inlineStr">
        <is>
          <t>光保持</t>
        </is>
      </c>
      <c r="E452" s="2" t="inlineStr">
        <is>
          <t>P0</t>
        </is>
      </c>
      <c r="F452" s="3" t="inlineStr">
        <is>
          <t>4.3.3.1</t>
        </is>
      </c>
      <c r="G452" s="3" t="inlineStr">
        <is>
          <t>（见父案步骤）</t>
        </is>
      </c>
      <c r="H452" s="3" t="inlineStr">
        <is>
          <t>故障光保持至排除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GE-12.4</t>
        </is>
      </c>
      <c r="C453" s="3" t="inlineStr">
        <is>
          <t>气体灭火控制器</t>
        </is>
      </c>
      <c r="D453" s="3" t="inlineStr">
        <is>
          <t>部位指示</t>
        </is>
      </c>
      <c r="E453" s="2" t="inlineStr">
        <is>
          <t>P0</t>
        </is>
      </c>
      <c r="F453" s="3" t="inlineStr">
        <is>
          <t>4.3.3.2 a)/b)</t>
        </is>
      </c>
      <c r="G453" s="3" t="inlineStr">
        <is>
          <t>（见父案步骤）</t>
        </is>
      </c>
      <c r="H453" s="3" t="inlineStr">
        <is>
          <t>a)/b) 指示部位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GE-12.5</t>
        </is>
      </c>
      <c r="C454" s="3" t="inlineStr">
        <is>
          <t>气体灭火控制器</t>
        </is>
      </c>
      <c r="D454" s="3" t="inlineStr">
        <is>
          <t>类型指示</t>
        </is>
      </c>
      <c r="E454" s="2" t="inlineStr">
        <is>
          <t>P0</t>
        </is>
      </c>
      <c r="F454" s="3" t="inlineStr">
        <is>
          <t>4.3.3.2 c)/d)/e)</t>
        </is>
      </c>
      <c r="G454" s="3" t="inlineStr">
        <is>
          <t>（见父案步骤）</t>
        </is>
      </c>
      <c r="H454" s="3" t="inlineStr">
        <is>
          <t>c)/d)/e) 指示类型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GE-12.6</t>
        </is>
      </c>
      <c r="C455" s="3" t="inlineStr">
        <is>
          <t>气体灭火控制器</t>
        </is>
      </c>
      <c r="D455" s="3" t="inlineStr">
        <is>
          <t>故障灯</t>
        </is>
      </c>
      <c r="E455" s="2" t="inlineStr">
        <is>
          <t>P0</t>
        </is>
      </c>
      <c r="F455" s="3" t="inlineStr">
        <is>
          <t>4.3.3.1</t>
        </is>
      </c>
      <c r="G455" s="3" t="inlineStr">
        <is>
          <t>（见父案步骤）</t>
        </is>
      </c>
      <c r="H455" s="3" t="inlineStr">
        <is>
          <t>故障指示灯点亮</t>
        </is>
      </c>
      <c r="I455" s="3" t="n"/>
      <c r="J455" s="2" t="inlineStr">
        <is>
          <t>通过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GE-13</t>
        </is>
      </c>
      <c r="C456" s="3" t="inlineStr">
        <is>
          <t>气体灭火控制器</t>
        </is>
      </c>
      <c r="D456" s="3" t="n"/>
      <c r="E456" s="2" t="inlineStr">
        <is>
          <t>P1</t>
        </is>
      </c>
      <c r="F456" s="3" t="inlineStr">
        <is>
          <t>↔ 5.3.2.2.2</t>
        </is>
      </c>
      <c r="G456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56" s="3" t="inlineStr">
        <is>
          <t>见子项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GE-13.1</t>
        </is>
      </c>
      <c r="C457" s="3" t="inlineStr">
        <is>
          <t>气体灭火控制器</t>
        </is>
      </c>
      <c r="D457" s="3" t="inlineStr">
        <is>
          <t>① 阶段中故障显示</t>
        </is>
      </c>
      <c r="E457" s="2" t="inlineStr">
        <is>
          <t>P1</t>
        </is>
      </c>
      <c r="F457" s="3" t="inlineStr">
        <is>
          <t>↔ 5.3.2.2.2</t>
        </is>
      </c>
      <c r="G457" s="3" t="inlineStr">
        <is>
          <t>（见父案步骤）</t>
        </is>
      </c>
      <c r="H457" s="3" t="inlineStr">
        <is>
          <t>各阶段中制造的故障均正常显示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GE-13.2</t>
        </is>
      </c>
      <c r="C458" s="3" t="inlineStr">
        <is>
          <t>气体灭火控制器</t>
        </is>
      </c>
      <c r="D458" s="3" t="inlineStr">
        <is>
          <t>① 不打断流程</t>
        </is>
      </c>
      <c r="E458" s="2" t="inlineStr">
        <is>
          <t>P1</t>
        </is>
      </c>
      <c r="F458" s="3" t="inlineStr">
        <is>
          <t>↔ 5.3.2.2.2</t>
        </is>
      </c>
      <c r="G458" s="3" t="inlineStr">
        <is>
          <t>（见父案步骤）</t>
        </is>
      </c>
      <c r="H458" s="3" t="inlineStr">
        <is>
          <t>不打断当前流程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GE-13.3</t>
        </is>
      </c>
      <c r="C459" s="3" t="inlineStr">
        <is>
          <t>气体灭火控制器</t>
        </is>
      </c>
      <c r="D459" s="3" t="inlineStr">
        <is>
          <t>② 流程照常推进</t>
        </is>
      </c>
      <c r="E459" s="2" t="inlineStr">
        <is>
          <t>P1</t>
        </is>
      </c>
      <c r="F459" s="3" t="inlineStr">
        <is>
          <t>↔ 5.3.2.2.2</t>
        </is>
      </c>
      <c r="G459" s="3" t="inlineStr">
        <is>
          <t>（见父案步骤）</t>
        </is>
      </c>
      <c r="H459" s="3" t="inlineStr">
        <is>
          <t>故障先存在时，流程照常推进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GE-13.4</t>
        </is>
      </c>
      <c r="C460" s="3" t="inlineStr">
        <is>
          <t>气体灭火控制器</t>
        </is>
      </c>
      <c r="D460" s="3" t="inlineStr">
        <is>
          <t>② 故障灯全程保持</t>
        </is>
      </c>
      <c r="E460" s="2" t="inlineStr">
        <is>
          <t>P1</t>
        </is>
      </c>
      <c r="F460" s="3" t="inlineStr">
        <is>
          <t>↔ 5.3.2.2.2</t>
        </is>
      </c>
      <c r="G460" s="3" t="inlineStr">
        <is>
          <t>（见父案步骤）</t>
        </is>
      </c>
      <c r="H460" s="3" t="inlineStr">
        <is>
          <t>故障指示灯全程保持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GE-14</t>
        </is>
      </c>
      <c r="C461" s="3" t="inlineStr">
        <is>
          <t>气体灭火控制器</t>
        </is>
      </c>
      <c r="D461" s="3" t="n"/>
      <c r="E461" s="2" t="inlineStr">
        <is>
          <t>P0</t>
        </is>
      </c>
      <c r="F461" s="3" t="inlineStr">
        <is>
          <t>4.3.3.3 ↔ 5.3.2.2.5</t>
        </is>
      </c>
      <c r="G461" s="3" t="inlineStr">
        <is>
          <t>故障复位复显与清空（总案）——① 保留故障源手动复位，计时；② 排除所有故障源后观察（自动恢复的不复位；未自清的手动复位）</t>
        </is>
      </c>
      <c r="H461" s="3" t="inlineStr">
        <is>
          <t>见子项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GE-14.1</t>
        </is>
      </c>
      <c r="C462" s="3" t="inlineStr">
        <is>
          <t>气体灭火控制器</t>
        </is>
      </c>
      <c r="D462" s="3" t="inlineStr">
        <is>
          <t>尚存故障复显</t>
        </is>
      </c>
      <c r="E462" s="2" t="inlineStr">
        <is>
          <t>P0</t>
        </is>
      </c>
      <c r="F462" s="3" t="inlineStr">
        <is>
          <t>4.3.3.3</t>
        </is>
      </c>
      <c r="G462" s="3" t="inlineStr">
        <is>
          <t>（见父案步骤）</t>
        </is>
      </c>
      <c r="H462" s="3" t="inlineStr">
        <is>
          <t>① 尚存故障 ≤100 s 重新显示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GE-14.2</t>
        </is>
      </c>
      <c r="C463" s="3" t="inlineStr">
        <is>
          <t>气体灭火控制器</t>
        </is>
      </c>
      <c r="D463" s="3" t="inlineStr">
        <is>
          <t>全清无残留</t>
        </is>
      </c>
      <c r="E463" s="2" t="inlineStr">
        <is>
          <t>P0</t>
        </is>
      </c>
      <c r="F463" s="3" t="inlineStr">
        <is>
          <t>4.3.3.3</t>
        </is>
      </c>
      <c r="G463" s="3" t="inlineStr">
        <is>
          <t>（见父案步骤）</t>
        </is>
      </c>
      <c r="H463" s="3" t="inlineStr">
        <is>
          <t>② 全部排除后指示完全清空、无"幽灵故障"残留（与 FT-05 ② 同构）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GE-15</t>
        </is>
      </c>
      <c r="C464" s="3" t="inlineStr">
        <is>
          <t>气体灭火控制器</t>
        </is>
      </c>
      <c r="D464" s="3" t="n"/>
      <c r="E464" s="2" t="inlineStr">
        <is>
          <t>P0</t>
        </is>
      </c>
      <c r="F464" s="3" t="inlineStr">
        <is>
          <t>4.3.4.1 ↔ 5.3.3</t>
        </is>
      </c>
      <c r="G464" s="3" t="inlineStr">
        <is>
          <t>自检不动作输出（总案）——自检期间监视受控设备与输出接点；自检 &gt;1 min 时使非自检部位启动</t>
        </is>
      </c>
      <c r="H464" s="3" t="inlineStr">
        <is>
          <t>见子项</t>
        </is>
      </c>
      <c r="I464" s="3" t="n"/>
      <c r="J464" s="2" t="inlineStr">
        <is>
          <t>通过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GE-15.1</t>
        </is>
      </c>
      <c r="C465" s="3" t="inlineStr">
        <is>
          <t>气体灭火控制器</t>
        </is>
      </c>
      <c r="D465" s="3" t="inlineStr">
        <is>
          <t>输出不动作</t>
        </is>
      </c>
      <c r="E465" s="2" t="inlineStr">
        <is>
          <t>P0</t>
        </is>
      </c>
      <c r="F465" s="3" t="inlineStr">
        <is>
          <t>4.3.4.1</t>
        </is>
      </c>
      <c r="G465" s="3" t="inlineStr">
        <is>
          <t>（见父案步骤）</t>
        </is>
      </c>
      <c r="H465" s="3" t="inlineStr">
        <is>
          <t>自检期间受控设备与输出接点均不动作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GE-15.2</t>
        </is>
      </c>
      <c r="C466" s="3" t="inlineStr">
        <is>
          <t>气体灭火控制器</t>
        </is>
      </c>
      <c r="D466" s="3" t="inlineStr">
        <is>
          <t>不阻断灭火控制</t>
        </is>
      </c>
      <c r="E466" s="2" t="inlineStr">
        <is>
          <t>P0</t>
        </is>
      </c>
      <c r="F466" s="3" t="inlineStr">
        <is>
          <t>4.3.4.1</t>
        </is>
      </c>
      <c r="G466" s="3" t="inlineStr">
        <is>
          <t>（见父案步骤）</t>
        </is>
      </c>
      <c r="H466" s="3" t="inlineStr">
        <is>
          <t>超 1 min 或不能自动停止时不影响非自检部位及本机灭火控制功能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GE-16</t>
        </is>
      </c>
      <c r="C467" s="3" t="inlineStr">
        <is>
          <t>气体灭火控制器</t>
        </is>
      </c>
      <c r="D467" s="3" t="inlineStr">
        <is>
          <t>面板自检</t>
        </is>
      </c>
      <c r="E467" s="2" t="inlineStr">
        <is>
          <t>P0</t>
        </is>
      </c>
      <c r="F467" s="3" t="inlineStr">
        <is>
          <t>4.3.4.2 ↔ 5.3.3</t>
        </is>
      </c>
      <c r="G467" s="3" t="inlineStr">
        <is>
          <t>手动检查音响、指示灯、显示器</t>
        </is>
      </c>
      <c r="H467" s="3" t="inlineStr">
        <is>
          <t>全部可手动检查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GE-17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4.3.5.1 ↔ 5.3.4</t>
        </is>
      </c>
      <c r="G468" s="3" t="inlineStr">
        <is>
          <t>主备电转换（总案）——断主电/恢复主电</t>
        </is>
      </c>
      <c r="H468" s="3" t="inlineStr">
        <is>
          <t>见子项</t>
        </is>
      </c>
      <c r="I468" s="3" t="n"/>
      <c r="J468" s="2" t="inlineStr">
        <is>
          <t>通过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GE-17.1</t>
        </is>
      </c>
      <c r="C469" s="3" t="inlineStr">
        <is>
          <t>气体灭火控制器</t>
        </is>
      </c>
      <c r="D469" s="3" t="inlineStr">
        <is>
          <t>自动转换</t>
        </is>
      </c>
      <c r="E469" s="2" t="inlineStr">
        <is>
          <t>P0</t>
        </is>
      </c>
      <c r="F469" s="3" t="inlineStr">
        <is>
          <t>4.3.5.1</t>
        </is>
      </c>
      <c r="G469" s="3" t="inlineStr">
        <is>
          <t>（见父案步骤）</t>
        </is>
      </c>
      <c r="H469" s="3" t="inlineStr">
        <is>
          <t>自动转换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GE-17.2</t>
        </is>
      </c>
      <c r="C470" s="3" t="inlineStr">
        <is>
          <t>气体灭火控制器</t>
        </is>
      </c>
      <c r="D470" s="3" t="inlineStr">
        <is>
          <t>状态指示</t>
        </is>
      </c>
      <c r="E470" s="2" t="inlineStr">
        <is>
          <t>P0</t>
        </is>
      </c>
      <c r="F470" s="3" t="inlineStr">
        <is>
          <t>4.3.5.1</t>
        </is>
      </c>
      <c r="G470" s="3" t="inlineStr">
        <is>
          <t>（见父案步骤）</t>
        </is>
      </c>
      <c r="H470" s="3" t="inlineStr">
        <is>
          <t>状态指示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GE-17.3</t>
        </is>
      </c>
      <c r="C471" s="3" t="inlineStr">
        <is>
          <t>气体灭火控制器</t>
        </is>
      </c>
      <c r="D471" s="3" t="inlineStr">
        <is>
          <t>主电过流保护</t>
        </is>
      </c>
      <c r="E471" s="2" t="inlineStr">
        <is>
          <t>P0</t>
        </is>
      </c>
      <c r="F471" s="3" t="inlineStr">
        <is>
          <t>4.3.5.1</t>
        </is>
      </c>
      <c r="G471" s="3" t="inlineStr">
        <is>
          <t>（见父案步骤）</t>
        </is>
      </c>
      <c r="H471" s="3" t="inlineStr">
        <is>
          <t>主电过流保护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GE-17.4</t>
        </is>
      </c>
      <c r="C472" s="3" t="inlineStr">
        <is>
          <t>气体灭火控制器</t>
        </is>
      </c>
      <c r="D472" s="3" t="inlineStr">
        <is>
          <t>转换不误动作</t>
        </is>
      </c>
      <c r="E472" s="2" t="inlineStr">
        <is>
          <t>P0</t>
        </is>
      </c>
      <c r="F472" s="3" t="inlineStr">
        <is>
          <t>4.3.5.1</t>
        </is>
      </c>
      <c r="G472" s="3" t="inlineStr">
        <is>
          <t>（见父案步骤）</t>
        </is>
      </c>
      <c r="H472" s="3" t="inlineStr">
        <is>
          <t>转换不误动作</t>
        </is>
      </c>
      <c r="I472" s="3" t="n"/>
      <c r="J472" s="2" t="inlineStr">
        <is>
          <t>通过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GE-18</t>
        </is>
      </c>
      <c r="C473" s="3" t="inlineStr">
        <is>
          <t>气体灭火控制器</t>
        </is>
      </c>
      <c r="D473" s="3" t="inlineStr">
        <is>
          <t>备电容量</t>
        </is>
      </c>
      <c r="E473" s="2" t="inlineStr">
        <is>
          <t>P2</t>
        </is>
      </c>
      <c r="F473" s="3" t="inlineStr">
        <is>
          <t>4.3.5.1 ↔ 5.3.4</t>
        </is>
      </c>
      <c r="G473" s="3" t="inlineStr">
        <is>
          <t>备电供电：正常监视 8 h → 启动状态 30 min</t>
        </is>
      </c>
      <c r="H473" s="3" t="inlineStr">
        <is>
          <t>全程正常工作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GE-19</t>
        </is>
      </c>
      <c r="C474" s="3" t="inlineStr">
        <is>
          <t>气体灭火控制器</t>
        </is>
      </c>
      <c r="D474" s="3" t="inlineStr">
        <is>
          <t>电压容限</t>
        </is>
      </c>
      <c r="E474" s="2" t="inlineStr">
        <is>
          <t>P0</t>
        </is>
      </c>
      <c r="F474" s="3" t="inlineStr">
        <is>
          <t>4.3.5.2 ↔ 5.3.4</t>
        </is>
      </c>
      <c r="G474" s="3" t="inlineStr">
        <is>
          <t>输入 187 V / 220 V / 242 V（频率偏差 ≤±1%）做基本功能试验</t>
        </is>
      </c>
      <c r="H474" s="3" t="inlineStr">
        <is>
          <t>全范围正常工作</t>
        </is>
      </c>
      <c r="I474" s="4" t="inlineStr">
        <is>
          <t>（未填写原因，需补）</t>
        </is>
      </c>
      <c r="J474" s="6" t="inlineStr">
        <is>
          <t>通过</t>
        </is>
      </c>
      <c r="K474" s="2" t="n"/>
      <c r="L474" s="2" t="inlineStr">
        <is>
          <t>2026-08-18</t>
        </is>
      </c>
      <c r="M474" s="3" t="n"/>
      <c r="N474" s="2" t="n"/>
    </row>
    <row r="475">
      <c r="A475" s="2" t="n">
        <v>474</v>
      </c>
      <c r="B475" s="2" t="inlineStr">
        <is>
          <t>GE-20</t>
        </is>
      </c>
      <c r="C475" s="3" t="inlineStr">
        <is>
          <t>气体灭火控制器</t>
        </is>
      </c>
      <c r="D475" s="3" t="inlineStr">
        <is>
          <t>现场数据断电保存</t>
        </is>
      </c>
      <c r="E475" s="2" t="inlineStr">
        <is>
          <t>P1</t>
        </is>
      </c>
      <c r="F475" s="3" t="inlineStr">
        <is>
          <t>4.1.5.2.4 b)</t>
        </is>
      </c>
      <c r="G475" s="3" t="inlineStr">
        <is>
          <t>断电 14 d 后上电检查现场设置数据</t>
        </is>
      </c>
      <c r="H475" s="3" t="inlineStr">
        <is>
          <t>保存 ≥14 d（或恢复供电 1 h 内可恢复）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GE-21</t>
        </is>
      </c>
      <c r="C476" s="3" t="inlineStr">
        <is>
          <t>气体灭火控制器</t>
        </is>
      </c>
      <c r="D476" s="3" t="inlineStr">
        <is>
          <t>数据输入防意外执行</t>
        </is>
      </c>
      <c r="E476" s="2" t="inlineStr">
        <is>
          <t>P1</t>
        </is>
      </c>
      <c r="F476" s="3" t="inlineStr">
        <is>
          <t>4.1.5.1.3</t>
        </is>
      </c>
      <c r="G476" s="3" t="inlineStr">
        <is>
          <t>各状态下输入数据</t>
        </is>
      </c>
      <c r="H476" s="3" t="inlineStr">
        <is>
          <t>不引起程序意外执行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EX-01</t>
        </is>
      </c>
      <c r="C477" s="3" t="inlineStr">
        <is>
          <t>结构与外观</t>
        </is>
      </c>
      <c r="D477" s="3" t="n"/>
      <c r="E477" s="2" t="inlineStr">
        <is>
          <t>—</t>
        </is>
      </c>
      <c r="F477" s="3" t="inlineStr">
        <is>
          <t>GB 4717 5.2；GB 16806 5.1.5</t>
        </is>
      </c>
      <c r="G477" s="3" t="inlineStr">
        <is>
          <t>外观与包装（总案）</t>
        </is>
      </c>
      <c r="H477" s="3" t="inlineStr">
        <is>
          <t>见子项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EX-01.1</t>
        </is>
      </c>
      <c r="C478" s="3" t="inlineStr">
        <is>
          <t>结构与外观</t>
        </is>
      </c>
      <c r="D478" s="3" t="inlineStr">
        <is>
          <t>包装与随机件</t>
        </is>
      </c>
      <c r="E478" s="2" t="inlineStr">
        <is>
          <t>—</t>
        </is>
      </c>
      <c r="F478" s="3" t="inlineStr">
        <is>
          <t>GB 4717 5.2；GB 16806 5.1.5</t>
        </is>
      </c>
      <c r="G478" s="3" t="inlineStr">
        <is>
          <t>（见父案步骤）</t>
        </is>
      </c>
      <c r="H478" s="3" t="inlineStr">
        <is>
          <t>完整包装、产品标志、合格标志、说明书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EX-01.2</t>
        </is>
      </c>
      <c r="C479" s="3" t="inlineStr">
        <is>
          <t>结构与外观</t>
        </is>
      </c>
      <c r="D479" s="3" t="inlineStr">
        <is>
          <t>表面质量</t>
        </is>
      </c>
      <c r="E479" s="2" t="inlineStr">
        <is>
          <t>—</t>
        </is>
      </c>
      <c r="F479" s="3" t="inlineStr">
        <is>
          <t>GB 4717 5.2；GB 16806 5.1.5</t>
        </is>
      </c>
      <c r="G479" s="3" t="inlineStr">
        <is>
          <t>（见父案步骤）</t>
        </is>
      </c>
      <c r="H479" s="3" t="inlineStr">
        <is>
          <t>无腐蚀/脱漆/划伤/毛刺</t>
        </is>
      </c>
      <c r="I479" s="3" t="n"/>
      <c r="J479" s="2" t="inlineStr">
        <is>
          <t>通过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EX-01.3</t>
        </is>
      </c>
      <c r="C480" s="3" t="inlineStr">
        <is>
          <t>结构与外观</t>
        </is>
      </c>
      <c r="D480" s="3" t="inlineStr">
        <is>
          <t>紧固件</t>
        </is>
      </c>
      <c r="E480" s="2" t="inlineStr">
        <is>
          <t>—</t>
        </is>
      </c>
      <c r="F480" s="3" t="inlineStr">
        <is>
          <t>GB 4717 5.2；GB 16806 5.1.5</t>
        </is>
      </c>
      <c r="G480" s="3" t="inlineStr">
        <is>
          <t>（见父案步骤）</t>
        </is>
      </c>
      <c r="H480" s="3" t="inlineStr">
        <is>
          <t>紧固无松动</t>
        </is>
      </c>
      <c r="I480" s="3" t="n"/>
      <c r="J480" s="2" t="inlineStr">
        <is>
          <t>通过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EX-02</t>
        </is>
      </c>
      <c r="C481" s="3" t="inlineStr">
        <is>
          <t>结构与外观</t>
        </is>
      </c>
      <c r="D481" s="3" t="n"/>
      <c r="E481" s="2" t="inlineStr">
        <is>
          <t>—</t>
        </is>
      </c>
      <c r="F481" s="3" t="inlineStr">
        <is>
          <t>GB 4717 5.3.1.2～5.3.1.4；GB 16806 4.3.1.1</t>
        </is>
      </c>
      <c r="G481" s="3" t="inlineStr">
        <is>
          <t>供电与接地（总案）</t>
        </is>
      </c>
      <c r="H481" s="3" t="inlineStr">
        <is>
          <t>见子项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EX-02.1</t>
        </is>
      </c>
      <c r="C482" s="3" t="inlineStr">
        <is>
          <t>结构与外观</t>
        </is>
      </c>
      <c r="D482" s="3" t="inlineStr">
        <is>
          <t>主电规格</t>
        </is>
      </c>
      <c r="E482" s="2" t="inlineStr">
        <is>
          <t>—</t>
        </is>
      </c>
      <c r="F482" s="3" t="inlineStr">
        <is>
          <t>GB 4717 5.3.1.2；GB 16806 4.3.1.1</t>
        </is>
      </c>
      <c r="G482" s="3" t="inlineStr">
        <is>
          <t>（见父案步骤）</t>
        </is>
      </c>
      <c r="H482" s="3" t="inlineStr">
        <is>
          <t>主电 AC 220 V/50 Hz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EX-02.2</t>
        </is>
      </c>
      <c r="C483" s="3" t="inlineStr">
        <is>
          <t>结构与外观</t>
        </is>
      </c>
      <c r="D483" s="3" t="inlineStr">
        <is>
          <t>保护接地</t>
        </is>
      </c>
      <c r="E483" s="2" t="inlineStr">
        <is>
          <t>—</t>
        </is>
      </c>
      <c r="F483" s="3" t="inlineStr">
        <is>
          <t>GB 4717 5.3.1.3</t>
        </is>
      </c>
      <c r="G483" s="3" t="inlineStr">
        <is>
          <t>（见父案步骤）</t>
        </is>
      </c>
      <c r="H483" s="3" t="inlineStr">
        <is>
          <t>保护接地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EX-02.3</t>
        </is>
      </c>
      <c r="C484" s="3" t="inlineStr">
        <is>
          <t>结构与外观</t>
        </is>
      </c>
      <c r="D484" s="3" t="inlineStr">
        <is>
          <t>部件供电</t>
        </is>
      </c>
      <c r="E484" s="2" t="inlineStr">
        <is>
          <t>—</t>
        </is>
      </c>
      <c r="F484" s="3" t="inlineStr">
        <is>
          <t>GB 4717 5.3.1.4</t>
        </is>
      </c>
      <c r="G484" s="3" t="inlineStr">
        <is>
          <t>（见父案步骤）</t>
        </is>
      </c>
      <c r="H484" s="3" t="inlineStr">
        <is>
          <t>部件供电优先 DC 24 V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EX-02.4</t>
        </is>
      </c>
      <c r="C485" s="3" t="inlineStr">
        <is>
          <t>结构与外观</t>
        </is>
      </c>
      <c r="D485" s="3" t="inlineStr">
        <is>
          <t>电源接线端子</t>
        </is>
      </c>
      <c r="E485" s="2" t="inlineStr">
        <is>
          <t>—</t>
        </is>
      </c>
      <c r="F485" s="3" t="inlineStr">
        <is>
          <t>GB 4717 5.3.1.2</t>
        </is>
      </c>
      <c r="G485" s="3" t="inlineStr">
        <is>
          <t>（见父案步骤）</t>
        </is>
      </c>
      <c r="H485" s="3" t="inlineStr">
        <is>
          <t>电源线独立接线端子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EX-03</t>
        </is>
      </c>
      <c r="C486" s="3" t="inlineStr">
        <is>
          <t>结构与外观</t>
        </is>
      </c>
      <c r="D486" s="3" t="n"/>
      <c r="E486" s="2" t="inlineStr">
        <is>
          <t>—</t>
        </is>
      </c>
      <c r="F486" s="3" t="inlineStr">
        <is>
          <t>GB 4717 5.3.1.5/5.3.8</t>
        </is>
      </c>
      <c r="G486" s="3" t="inlineStr">
        <is>
          <t>按键与面板（报警控制器）（总案）</t>
        </is>
      </c>
      <c r="H486" s="3" t="inlineStr">
        <is>
          <t>见子项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EX-03.1</t>
        </is>
      </c>
      <c r="C487" s="3" t="inlineStr">
        <is>
          <t>结构与外观</t>
        </is>
      </c>
      <c r="D487" s="3" t="inlineStr">
        <is>
          <t>按键尺寸间隔</t>
        </is>
      </c>
      <c r="E487" s="2" t="inlineStr">
        <is>
          <t>—</t>
        </is>
      </c>
      <c r="F487" s="3" t="inlineStr">
        <is>
          <t>GB 4717 5.3.1.5</t>
        </is>
      </c>
      <c r="G487" s="3" t="inlineStr">
        <is>
          <t>（见父案步骤）</t>
        </is>
      </c>
      <c r="H487" s="3" t="inlineStr">
        <is>
          <t>按键 ≥12 mm×12 mm（或 φ12）、间隔 ≥10 mm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EX-03.2</t>
        </is>
      </c>
      <c r="C488" s="3" t="inlineStr">
        <is>
          <t>结构与外观</t>
        </is>
      </c>
      <c r="D488" s="3" t="inlineStr">
        <is>
          <t>布局排列</t>
        </is>
      </c>
      <c r="E488" s="2" t="inlineStr">
        <is>
          <t>—</t>
        </is>
      </c>
      <c r="F488" s="3" t="inlineStr">
        <is>
          <t>GB 4717 5.3.1.5</t>
        </is>
      </c>
      <c r="G488" s="3" t="inlineStr">
        <is>
          <t>（见父案步骤）</t>
        </is>
      </c>
      <c r="H488" s="3" t="inlineStr">
        <is>
          <t>指示灯/按键按标准图 1/图 2 顺序排列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EX-03.3</t>
        </is>
      </c>
      <c r="C489" s="3" t="inlineStr">
        <is>
          <t>结构与外观</t>
        </is>
      </c>
      <c r="D489" s="3" t="inlineStr">
        <is>
          <t>中文标注</t>
        </is>
      </c>
      <c r="E489" s="2" t="inlineStr">
        <is>
          <t>—</t>
        </is>
      </c>
      <c r="F489" s="3" t="inlineStr">
        <is>
          <t>GB 4717 5.3.8</t>
        </is>
      </c>
      <c r="G489" s="3" t="inlineStr">
        <is>
          <t>（见父案步骤）</t>
        </is>
      </c>
      <c r="H489" s="3" t="inlineStr">
        <is>
          <t>中文标注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EX-03.4</t>
        </is>
      </c>
      <c r="C490" s="3" t="inlineStr">
        <is>
          <t>结构与外观</t>
        </is>
      </c>
      <c r="D490" s="3" t="inlineStr">
        <is>
          <t>按键提示音</t>
        </is>
      </c>
      <c r="E490" s="2" t="inlineStr">
        <is>
          <t>—</t>
        </is>
      </c>
      <c r="F490" s="3" t="inlineStr">
        <is>
          <t>GB 4717 5.3.8</t>
        </is>
      </c>
      <c r="G490" s="3" t="inlineStr">
        <is>
          <t>（见父案步骤）</t>
        </is>
      </c>
      <c r="H490" s="3" t="inlineStr">
        <is>
          <t>按键有提示音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EX-04</t>
        </is>
      </c>
      <c r="C491" s="3" t="inlineStr">
        <is>
          <t>结构与外观</t>
        </is>
      </c>
      <c r="D491" s="3" t="n"/>
      <c r="E491" s="2" t="inlineStr">
        <is>
          <t>—</t>
        </is>
      </c>
      <c r="F491" s="3" t="inlineStr">
        <is>
          <t>GB 4717 5.3.2.1；GB 16806 4.1.3.2.1</t>
        </is>
      </c>
      <c r="G491" s="3" t="inlineStr">
        <is>
          <t>指示灯颜色（总案，两标准分列）</t>
        </is>
      </c>
      <c r="H491" s="3" t="inlineStr">
        <is>
          <t>见子项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EX-04.1</t>
        </is>
      </c>
      <c r="C492" s="3" t="inlineStr">
        <is>
          <t>结构与外观</t>
        </is>
      </c>
      <c r="D492" s="3" t="inlineStr">
        <is>
          <t>报警控制器灯色</t>
        </is>
      </c>
      <c r="E492" s="2" t="inlineStr">
        <is>
          <t>—</t>
        </is>
      </c>
      <c r="F492" s="3" t="inlineStr">
        <is>
          <t>GB 4717 5.3.2.1</t>
        </is>
      </c>
      <c r="G492" s="3" t="inlineStr">
        <is>
          <t>（见父案步骤）</t>
        </is>
      </c>
      <c r="H492" s="3" t="inlineStr">
        <is>
          <t>红=火警/监管/反馈/启动/延时/检查开启，黄=故障/系统故障/屏蔽/消音，绿=主备电/手动/自动/停止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EX-04.2</t>
        </is>
      </c>
      <c r="C493" s="3" t="inlineStr">
        <is>
          <t>结构与外观</t>
        </is>
      </c>
      <c r="D493" s="3" t="inlineStr">
        <is>
          <t>气灭控制器灯色</t>
        </is>
      </c>
      <c r="E493" s="2" t="inlineStr">
        <is>
          <t>—</t>
        </is>
      </c>
      <c r="F493" s="3" t="inlineStr">
        <is>
          <t>GB 16806 4.1.3.2.1</t>
        </is>
      </c>
      <c r="G493" s="3" t="inlineStr">
        <is>
          <t>（见父案步骤）</t>
        </is>
      </c>
      <c r="H493" s="3" t="inlineStr">
        <is>
          <t>红=火警/反馈/启动和延时，黄=故障/屏蔽/回路自检，绿=主备电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EX-05</t>
        </is>
      </c>
      <c r="C494" s="3" t="inlineStr">
        <is>
          <t>结构与外观</t>
        </is>
      </c>
      <c r="D494" s="3" t="n"/>
      <c r="E494" s="2" t="inlineStr">
        <is>
          <t>—</t>
        </is>
      </c>
      <c r="F494" s="3" t="inlineStr">
        <is>
          <t>GB 4717 5.3.2.2；GB 16806 4.1.3.2</t>
        </is>
      </c>
      <c r="G494" s="3" t="inlineStr">
        <is>
          <t>指示灯可见性与闪动参数（总案，两标准分列）</t>
        </is>
      </c>
      <c r="H494" s="3" t="inlineStr">
        <is>
          <t>见子项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EX-05.1</t>
        </is>
      </c>
      <c r="C495" s="3" t="inlineStr">
        <is>
          <t>结构与外观</t>
        </is>
      </c>
      <c r="D495" s="3" t="inlineStr">
        <is>
          <t>报警控制器可见性</t>
        </is>
      </c>
      <c r="E495" s="2" t="inlineStr">
        <is>
          <t>—</t>
        </is>
      </c>
      <c r="F495" s="3" t="inlineStr">
        <is>
          <t>GB 4717 5.3.2.2</t>
        </is>
      </c>
      <c r="G495" s="3" t="inlineStr">
        <is>
          <t>（见父案步骤）</t>
        </is>
      </c>
      <c r="H495" s="3" t="inlineStr">
        <is>
          <t>100～500 lx、22.5°，0.8 m/3 m</t>
        </is>
      </c>
      <c r="I495" s="3" t="n"/>
      <c r="J495" s="2" t="inlineStr">
        <is>
          <t>通过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EX-05.2</t>
        </is>
      </c>
      <c r="C496" s="3" t="inlineStr">
        <is>
          <t>结构与外观</t>
        </is>
      </c>
      <c r="D496" s="3" t="inlineStr">
        <is>
          <t>气灭控制器可见性</t>
        </is>
      </c>
      <c r="E496" s="2" t="inlineStr">
        <is>
          <t>—</t>
        </is>
      </c>
      <c r="F496" s="3" t="inlineStr">
        <is>
          <t>GB 16806 4.1.3.2</t>
        </is>
      </c>
      <c r="G496" s="3" t="inlineStr">
        <is>
          <t>（见父案步骤）</t>
        </is>
      </c>
      <c r="H496" s="3" t="inlineStr">
        <is>
          <t>5～500 lx、22.5°、3 m</t>
        </is>
      </c>
      <c r="I496" s="3" t="n"/>
      <c r="J496" s="2" t="inlineStr">
        <is>
          <t>通过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EX-05.3</t>
        </is>
      </c>
      <c r="C497" s="3" t="inlineStr">
        <is>
          <t>结构与外观</t>
        </is>
      </c>
      <c r="D497" s="3" t="inlineStr">
        <is>
          <t>气灭闪动参数</t>
        </is>
      </c>
      <c r="E497" s="2" t="inlineStr">
        <is>
          <t>—</t>
        </is>
      </c>
      <c r="F497" s="3" t="inlineStr">
        <is>
          <t>GB 16806 4.1.3.2</t>
        </is>
      </c>
      <c r="G497" s="3" t="inlineStr">
        <is>
          <t>（见父案步骤）</t>
        </is>
      </c>
      <c r="H497" s="3" t="inlineStr">
        <is>
          <t>闪动灯单次点亮 ≥0.25 s，启动灯闪频 ≥1 Hz、故障灯 ≥0.2 Hz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EX-05.4</t>
        </is>
      </c>
      <c r="C498" s="3" t="inlineStr">
        <is>
          <t>结构与外观</t>
        </is>
      </c>
      <c r="D498" s="3" t="inlineStr">
        <is>
          <t>气灭一灯兼显规则</t>
        </is>
      </c>
      <c r="E498" s="2" t="inlineStr">
        <is>
          <t>—</t>
        </is>
      </c>
      <c r="F498" s="3" t="inlineStr">
        <is>
          <t>GB 16806 4.1.3.2</t>
        </is>
      </c>
      <c r="G498" s="3" t="inlineStr">
        <is>
          <t>（见父案步骤）</t>
        </is>
      </c>
      <c r="H498" s="3" t="inlineStr">
        <is>
          <t>一灯兼显故障/屏蔽/自检时：故障闪亮、屏蔽与自检常亮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EX-06</t>
        </is>
      </c>
      <c r="C499" s="3" t="inlineStr">
        <is>
          <t>结构与外观</t>
        </is>
      </c>
      <c r="D499" s="3" t="n"/>
      <c r="E499" s="2" t="inlineStr">
        <is>
          <t>—</t>
        </is>
      </c>
      <c r="F499" s="3" t="inlineStr">
        <is>
          <t>GB 4717 5.3.1.8/5.3.1.9</t>
        </is>
      </c>
      <c r="G499" s="3" t="inlineStr">
        <is>
          <t>外壳防护与燃烧（报警控制器）（总案）</t>
        </is>
      </c>
      <c r="H499" s="3" t="inlineStr">
        <is>
          <t>见子项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EX-06.1</t>
        </is>
      </c>
      <c r="C500" s="3" t="inlineStr">
        <is>
          <t>结构与外观</t>
        </is>
      </c>
      <c r="D500" s="3" t="inlineStr">
        <is>
          <t>防护等级</t>
        </is>
      </c>
      <c r="E500" s="2" t="inlineStr">
        <is>
          <t>—</t>
        </is>
      </c>
      <c r="F500" s="3" t="inlineStr">
        <is>
          <t>GB 4717 5.3.1.8</t>
        </is>
      </c>
      <c r="G500" s="3" t="inlineStr">
        <is>
          <t>（见父案步骤）</t>
        </is>
      </c>
      <c r="H500" s="3" t="inlineStr">
        <is>
          <t>≥IP30</t>
        </is>
      </c>
      <c r="I500" s="3" t="n"/>
      <c r="J500" s="2" t="inlineStr">
        <is>
          <t>通过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EX-06.2</t>
        </is>
      </c>
      <c r="C501" s="3" t="inlineStr">
        <is>
          <t>结构与外观</t>
        </is>
      </c>
      <c r="D501" s="3" t="inlineStr">
        <is>
          <t>非金属外壳燃烧</t>
        </is>
      </c>
      <c r="E501" s="2" t="inlineStr">
        <is>
          <t>—</t>
        </is>
      </c>
      <c r="F501" s="3" t="inlineStr">
        <is>
          <t>GB 4717 5.3.1.9</t>
        </is>
      </c>
      <c r="G501" s="3" t="inlineStr">
        <is>
          <t>（见父案步骤）</t>
        </is>
      </c>
      <c r="H501" s="3" t="inlineStr">
        <is>
          <t>非金属外壳过附录 A 燃烧试验（样块 80×10 mm，燃烧长度 ≤50 mm）</t>
        </is>
      </c>
      <c r="I501" s="3" t="n"/>
      <c r="J501" s="2" t="inlineStr">
        <is>
          <t>不适用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EX-07</t>
        </is>
      </c>
      <c r="C502" s="3" t="inlineStr">
        <is>
          <t>结构与外观</t>
        </is>
      </c>
      <c r="D502" s="3" t="n"/>
      <c r="E502" s="2" t="inlineStr">
        <is>
          <t>—</t>
        </is>
      </c>
      <c r="F502" s="3" t="inlineStr">
        <is>
          <t>GB 4717 5.3.4；GB 16806 4.1.3.4.1</t>
        </is>
      </c>
      <c r="G502" s="3" t="inlineStr">
        <is>
          <t>音响器件（总案，两标准分列）</t>
        </is>
      </c>
      <c r="H502" s="3" t="inlineStr">
        <is>
          <t>见子项</t>
        </is>
      </c>
      <c r="I502" s="4" t="inlineStr">
        <is>
          <t>（未填写原因，需补）</t>
        </is>
      </c>
      <c r="J502" s="6" t="inlineStr">
        <is>
          <t>待测</t>
        </is>
      </c>
      <c r="K502" s="2" t="n"/>
      <c r="L502" s="2" t="inlineStr">
        <is>
          <t>2026-08-18</t>
        </is>
      </c>
      <c r="M502" s="3" t="n"/>
      <c r="N502" s="2" t="n"/>
    </row>
    <row r="503">
      <c r="A503" s="2" t="n">
        <v>502</v>
      </c>
      <c r="B503" s="2" t="inlineStr">
        <is>
          <t>EX-07.1</t>
        </is>
      </c>
      <c r="C503" s="3" t="inlineStr">
        <is>
          <t>结构与外观</t>
        </is>
      </c>
      <c r="D503" s="3" t="inlineStr">
        <is>
          <t>报警控制器声压级</t>
        </is>
      </c>
      <c r="E503" s="2" t="inlineStr">
        <is>
          <t>—</t>
        </is>
      </c>
      <c r="F503" s="3" t="inlineStr">
        <is>
          <t>GB 4717 5.3.4</t>
        </is>
      </c>
      <c r="G503" s="3" t="inlineStr">
        <is>
          <t>（见父案步骤）</t>
        </is>
      </c>
      <c r="H503" s="3" t="inlineStr">
        <is>
          <t>1 m 处 65～105 dB(A)</t>
        </is>
      </c>
      <c r="I503" s="4" t="inlineStr">
        <is>
          <t>（未填写原因，需补）</t>
        </is>
      </c>
      <c r="J503" s="6" t="inlineStr">
        <is>
          <t>待测</t>
        </is>
      </c>
      <c r="K503" s="2" t="n"/>
      <c r="L503" s="2" t="inlineStr">
        <is>
          <t>2026-08-18</t>
        </is>
      </c>
      <c r="M503" s="3" t="n"/>
      <c r="N503" s="2" t="n"/>
    </row>
    <row r="504">
      <c r="A504" s="2" t="n">
        <v>503</v>
      </c>
      <c r="B504" s="2" t="inlineStr">
        <is>
          <t>EX-07.2</t>
        </is>
      </c>
      <c r="C504" s="3" t="inlineStr">
        <is>
          <t>结构与外观</t>
        </is>
      </c>
      <c r="D504" s="3" t="inlineStr">
        <is>
          <t>报警控制器接线防脱</t>
        </is>
      </c>
      <c r="E504" s="2" t="inlineStr">
        <is>
          <t>—</t>
        </is>
      </c>
      <c r="F504" s="3" t="inlineStr">
        <is>
          <t>GB 4717 5.3.4</t>
        </is>
      </c>
      <c r="G504" s="3" t="inlineStr">
        <is>
          <t>（见父案步骤）</t>
        </is>
      </c>
      <c r="H504" s="3" t="inlineStr">
        <is>
          <t>接线防脱耐 50 N</t>
        </is>
      </c>
      <c r="I504" s="4" t="inlineStr">
        <is>
          <t>（未填写原因，需补）</t>
        </is>
      </c>
      <c r="J504" s="6" t="inlineStr">
        <is>
          <t>待测</t>
        </is>
      </c>
      <c r="K504" s="2" t="n"/>
      <c r="L504" s="2" t="inlineStr">
        <is>
          <t>2026-08-18</t>
        </is>
      </c>
      <c r="M504" s="3" t="n"/>
      <c r="N504" s="2" t="n"/>
    </row>
    <row r="505">
      <c r="A505" s="2" t="n">
        <v>504</v>
      </c>
      <c r="B505" s="2" t="inlineStr">
        <is>
          <t>EX-07.3</t>
        </is>
      </c>
      <c r="C505" s="3" t="inlineStr">
        <is>
          <t>结构与外观</t>
        </is>
      </c>
      <c r="D505" s="3" t="inlineStr">
        <is>
          <t>气灭控制器声压级</t>
        </is>
      </c>
      <c r="E505" s="2" t="inlineStr">
        <is>
          <t>—</t>
        </is>
      </c>
      <c r="F505" s="3" t="inlineStr">
        <is>
          <t>GB 16806 4.1.3.4.1</t>
        </is>
      </c>
      <c r="G505" s="3" t="inlineStr">
        <is>
          <t>（见父案步骤）</t>
        </is>
      </c>
      <c r="H505" s="3" t="inlineStr">
        <is>
          <t>1 m 处 &gt;65 且 &lt;115 dB(A)</t>
        </is>
      </c>
      <c r="I505" s="4" t="inlineStr">
        <is>
          <t>（未填写原因，需补）</t>
        </is>
      </c>
      <c r="J505" s="6" t="inlineStr">
        <is>
          <t>待测</t>
        </is>
      </c>
      <c r="K505" s="2" t="n"/>
      <c r="L505" s="2" t="inlineStr">
        <is>
          <t>2026-08-18</t>
        </is>
      </c>
      <c r="M505" s="3" t="n"/>
      <c r="N505" s="2" t="n"/>
    </row>
    <row r="506">
      <c r="A506" s="2" t="n">
        <v>505</v>
      </c>
      <c r="B506" s="2" t="inlineStr">
        <is>
          <t>EX-07.4</t>
        </is>
      </c>
      <c r="C506" s="3" t="inlineStr">
        <is>
          <t>结构与外观</t>
        </is>
      </c>
      <c r="D506" s="3" t="inlineStr">
        <is>
          <t>低压发声</t>
        </is>
      </c>
      <c r="E506" s="2" t="inlineStr">
        <is>
          <t>—</t>
        </is>
      </c>
      <c r="F506" s="3" t="inlineStr">
        <is>
          <t>两标准</t>
        </is>
      </c>
      <c r="G506" s="3" t="inlineStr">
        <is>
          <t>（见父案步骤）</t>
        </is>
      </c>
      <c r="H506" s="3" t="inlineStr">
        <is>
          <t>两者：85% 额定电压下正常发声</t>
        </is>
      </c>
      <c r="I506" s="4" t="inlineStr">
        <is>
          <t>（未填写原因，需补）</t>
        </is>
      </c>
      <c r="J506" s="6" t="inlineStr">
        <is>
          <t>待测</t>
        </is>
      </c>
      <c r="K506" s="2" t="n"/>
      <c r="L506" s="2" t="inlineStr">
        <is>
          <t>2026-08-18</t>
        </is>
      </c>
      <c r="M506" s="3" t="n"/>
      <c r="N506" s="2" t="n"/>
    </row>
    <row r="507">
      <c r="A507" s="2" t="n">
        <v>506</v>
      </c>
      <c r="B507" s="2" t="inlineStr">
        <is>
          <t>EX-08</t>
        </is>
      </c>
      <c r="C507" s="3" t="inlineStr">
        <is>
          <t>结构与外观</t>
        </is>
      </c>
      <c r="D507" s="3" t="n"/>
      <c r="E507" s="2" t="inlineStr">
        <is>
          <t>—</t>
        </is>
      </c>
      <c r="F507" s="3" t="inlineStr">
        <is>
          <t>GB 4717 5.3.5；GB 16806 4.1.3.5</t>
        </is>
      </c>
      <c r="G507" s="3" t="inlineStr">
        <is>
          <t>过负荷/熔断器（总案）</t>
        </is>
      </c>
      <c r="H507" s="3" t="inlineStr">
        <is>
          <t>见子项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EX-08.1</t>
        </is>
      </c>
      <c r="C508" s="3" t="inlineStr">
        <is>
          <t>结构与外观</t>
        </is>
      </c>
      <c r="D508" s="3" t="inlineStr">
        <is>
          <t>保护设定</t>
        </is>
      </c>
      <c r="E508" s="2" t="inlineStr">
        <is>
          <t>—</t>
        </is>
      </c>
      <c r="F508" s="3" t="inlineStr">
        <is>
          <t>GB 4717 5.3.5；GB 16806 4.1.3.5</t>
        </is>
      </c>
      <c r="G508" s="3" t="inlineStr">
        <is>
          <t>（见父案步骤）</t>
        </is>
      </c>
      <c r="H508" s="3" t="inlineStr">
        <is>
          <t>保护设定 ≤2 倍额定电流（&gt;6 A 时 1.5 倍）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EX-08.2</t>
        </is>
      </c>
      <c r="C509" s="3" t="inlineStr">
        <is>
          <t>结构与外观</t>
        </is>
      </c>
      <c r="D509" s="3" t="inlineStr">
        <is>
          <t>参数标识</t>
        </is>
      </c>
      <c r="E509" s="2" t="inlineStr">
        <is>
          <t>—</t>
        </is>
      </c>
      <c r="F509" s="3" t="inlineStr">
        <is>
          <t>GB 4717 5.3.5；GB 16806 4.1.3.5</t>
        </is>
      </c>
      <c r="G509" s="3" t="inlineStr">
        <is>
          <t>（见父案步骤）</t>
        </is>
      </c>
      <c r="H509" s="3" t="inlineStr">
        <is>
          <t>参数标识清晰（GB 4717 另要求字高 ≥1.5 mm、DC/AC 分标）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EX-09</t>
        </is>
      </c>
      <c r="C510" s="3" t="inlineStr">
        <is>
          <t>结构与外观</t>
        </is>
      </c>
      <c r="D510" s="3" t="n"/>
      <c r="E510" s="2" t="inlineStr">
        <is>
          <t>—</t>
        </is>
      </c>
      <c r="F510" s="3" t="inlineStr">
        <is>
          <t>GB 4717 5.3.6/5.3.7.2；GB 16806 4.1.3.6/4.1.3.7.1/4.1.3.9</t>
        </is>
      </c>
      <c r="G510" s="3" t="inlineStr">
        <is>
          <t>端子与导线（总案）</t>
        </is>
      </c>
      <c r="H510" s="3" t="inlineStr">
        <is>
          <t>见子项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EX-09.1</t>
        </is>
      </c>
      <c r="C511" s="3" t="inlineStr">
        <is>
          <t>结构与外观</t>
        </is>
      </c>
      <c r="D511" s="3" t="inlineStr">
        <is>
          <t>端子编号</t>
        </is>
      </c>
      <c r="E511" s="2" t="inlineStr">
        <is>
          <t>—</t>
        </is>
      </c>
      <c r="F511" s="3" t="inlineStr">
        <is>
          <t>GB 4717 5.3.6</t>
        </is>
      </c>
      <c r="G511" s="3" t="inlineStr">
        <is>
          <t>（见父案步骤）</t>
        </is>
      </c>
      <c r="H511" s="3" t="inlineStr">
        <is>
          <t>端子编号清晰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EX-09.2</t>
        </is>
      </c>
      <c r="C512" s="3" t="inlineStr">
        <is>
          <t>结构与外观</t>
        </is>
      </c>
      <c r="D512" s="3" t="inlineStr">
        <is>
          <t>电池线色</t>
        </is>
      </c>
      <c r="E512" s="2" t="inlineStr">
        <is>
          <t>—</t>
        </is>
      </c>
      <c r="F512" s="3" t="inlineStr">
        <is>
          <t>GB 4717 5.3.7.2</t>
        </is>
      </c>
      <c r="G512" s="3" t="inlineStr">
        <is>
          <t>（见父案步骤）</t>
        </is>
      </c>
      <c r="H512" s="3" t="inlineStr">
        <is>
          <t>电池正极红线、负极黑/蓝线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EX-09.3</t>
        </is>
      </c>
      <c r="C513" s="3" t="inlineStr">
        <is>
          <t>结构与外观</t>
        </is>
      </c>
      <c r="D513" s="3" t="inlineStr">
        <is>
          <t>配线阻燃</t>
        </is>
      </c>
      <c r="E513" s="2" t="inlineStr">
        <is>
          <t>—</t>
        </is>
      </c>
      <c r="F513" s="3" t="inlineStr">
        <is>
          <t>GB 16806 4.1.3.9</t>
        </is>
      </c>
      <c r="G513" s="3" t="inlineStr">
        <is>
          <t>（见父案步骤）</t>
        </is>
      </c>
      <c r="H513" s="3" t="inlineStr">
        <is>
          <t>（GB 16806）主电路配线阻燃（工作温度 &gt;105℃）、线槽氧指数 ≥28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EX-10</t>
        </is>
      </c>
      <c r="C514" s="3" t="inlineStr">
        <is>
          <t>结构与外观</t>
        </is>
      </c>
      <c r="D514" s="3" t="n"/>
      <c r="E514" s="2" t="inlineStr">
        <is>
          <t>—</t>
        </is>
      </c>
      <c r="F514" s="3" t="inlineStr">
        <is>
          <t>GB 16806 4.1.3.10</t>
        </is>
      </c>
      <c r="G514" s="3" t="inlineStr">
        <is>
          <t>元件温升（气灭控制器）（总案）</t>
        </is>
      </c>
      <c r="H514" s="3" t="inlineStr">
        <is>
          <t>见子项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EX-10.1</t>
        </is>
      </c>
      <c r="C515" s="3" t="inlineStr">
        <is>
          <t>结构与外观</t>
        </is>
      </c>
      <c r="D515" s="3" t="inlineStr">
        <is>
          <t>主要元件温升</t>
        </is>
      </c>
      <c r="E515" s="2" t="inlineStr">
        <is>
          <t>—</t>
        </is>
      </c>
      <c r="F515" s="3" t="inlineStr">
        <is>
          <t>GB 16806 4.1.3.10</t>
        </is>
      </c>
      <c r="G515" s="3" t="inlineStr">
        <is>
          <t>（见父案步骤）</t>
        </is>
      </c>
      <c r="H515" s="3" t="inlineStr">
        <is>
          <t>主要元件温升 ≤60℃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EX-10.2</t>
        </is>
      </c>
      <c r="C516" s="3" t="inlineStr">
        <is>
          <t>结构与外观</t>
        </is>
      </c>
      <c r="D516" s="3" t="inlineStr">
        <is>
          <t>变压器表面</t>
        </is>
      </c>
      <c r="E516" s="2" t="inlineStr">
        <is>
          <t>—</t>
        </is>
      </c>
      <c r="F516" s="3" t="inlineStr">
        <is>
          <t>GB 16806 4.1.3.10</t>
        </is>
      </c>
      <c r="G516" s="3" t="inlineStr">
        <is>
          <t>（见父案步骤）</t>
        </is>
      </c>
      <c r="H516" s="3" t="inlineStr">
        <is>
          <t>变压器等表面 ≤90℃（25±3℃）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EX-10.3</t>
        </is>
      </c>
      <c r="C517" s="3" t="inlineStr">
        <is>
          <t>结构与外观</t>
        </is>
      </c>
      <c r="D517" s="3" t="inlineStr">
        <is>
          <t>电池周围</t>
        </is>
      </c>
      <c r="E517" s="2" t="inlineStr">
        <is>
          <t>—</t>
        </is>
      </c>
      <c r="F517" s="3" t="inlineStr">
        <is>
          <t>GB 16806 4.1.3.10</t>
        </is>
      </c>
      <c r="G517" s="3" t="inlineStr">
        <is>
          <t>（见父案步骤）</t>
        </is>
      </c>
      <c r="H517" s="3" t="inlineStr">
        <is>
          <t>电池周围 ≤45℃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EX-11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5.4.15；GB 16806 4.1.5</t>
        </is>
      </c>
      <c r="G518" s="3" t="inlineStr">
        <is>
          <t>软件资料（总案）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EX-11.1</t>
        </is>
      </c>
      <c r="C519" s="3" t="inlineStr">
        <is>
          <t>结构与外观</t>
        </is>
      </c>
      <c r="D519" s="3" t="inlineStr">
        <is>
          <t>资料齐备</t>
        </is>
      </c>
      <c r="E519" s="2" t="inlineStr">
        <is>
          <t>—</t>
        </is>
      </c>
      <c r="F519" s="3" t="inlineStr">
        <is>
          <t>GB 4717 5.4.15；GB 16806 4.1.5</t>
        </is>
      </c>
      <c r="G519" s="3" t="inlineStr">
        <is>
          <t>（见父案步骤）</t>
        </is>
      </c>
      <c r="H519" s="3" t="inlineStr">
        <is>
          <t>主程序流程/结构图、模块说明、存储器地址分配、软件版本号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EX-11.2</t>
        </is>
      </c>
      <c r="C520" s="3" t="inlineStr">
        <is>
          <t>结构与外观</t>
        </is>
      </c>
      <c r="D520" s="3" t="inlineStr">
        <is>
          <t>存储介质</t>
        </is>
      </c>
      <c r="E520" s="2" t="inlineStr">
        <is>
          <t>—</t>
        </is>
      </c>
      <c r="F520" s="3" t="inlineStr">
        <is>
          <t>GB 4717 5.4.15；GB 16806 4.1.5</t>
        </is>
      </c>
      <c r="G520" s="3" t="inlineStr">
        <is>
          <t>（见父案步骤）</t>
        </is>
      </c>
      <c r="H520" s="3" t="inlineStr">
        <is>
          <t>程序存于不易丢失存储器</t>
        </is>
      </c>
      <c r="I520" s="3" t="n"/>
      <c r="J520" s="2" t="inlineStr">
        <is>
          <t>通过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EX-11.3</t>
        </is>
      </c>
      <c r="C521" s="3" t="inlineStr">
        <is>
          <t>结构与外观</t>
        </is>
      </c>
      <c r="D521" s="3" t="inlineStr">
        <is>
          <t>防改动</t>
        </is>
      </c>
      <c r="E521" s="2" t="inlineStr">
        <is>
          <t>—</t>
        </is>
      </c>
      <c r="F521" s="3" t="inlineStr">
        <is>
          <t>GB 4717 5.4.15；GB 16806 4.1.5</t>
        </is>
      </c>
      <c r="G521" s="3" t="inlineStr">
        <is>
          <t>（见父案步骤）</t>
        </is>
      </c>
      <c r="H521" s="3" t="inlineStr">
        <is>
          <t>软件防非专门人员改动</t>
        </is>
      </c>
      <c r="I521" s="3" t="n"/>
      <c r="J521" s="2" t="inlineStr">
        <is>
          <t>通过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EX-12</t>
        </is>
      </c>
      <c r="C522" s="3" t="inlineStr">
        <is>
          <t>结构与外观</t>
        </is>
      </c>
      <c r="D522" s="3" t="n"/>
      <c r="E522" s="2" t="inlineStr">
        <is>
          <t>—</t>
        </is>
      </c>
      <c r="F522" s="3" t="inlineStr">
        <is>
          <t>GB 4717 8；GB 16806 7</t>
        </is>
      </c>
      <c r="G522" s="3" t="inlineStr">
        <is>
          <t>产品标志</t>
        </is>
      </c>
      <c r="H522" s="3" t="inlineStr">
        <is>
          <t>名称型号、标准编号、生产者、制造日期与编号、供电参数、软件版本号、质检合格标志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TT-01</t>
        </is>
      </c>
      <c r="C523" s="3" t="inlineStr">
        <is>
          <t>型式试验</t>
        </is>
      </c>
      <c r="D523" s="3" t="n"/>
      <c r="E523" s="2" t="inlineStr">
        <is>
          <t>P2</t>
        </is>
      </c>
      <c r="F523" s="3" t="inlineStr">
        <is>
          <t>GB 4717 5.13；GB 16806 5.5/6.16</t>
        </is>
      </c>
      <c r="G523" s="3" t="inlineStr">
        <is>
          <t>绝缘电阻（总案）——500 V DC、60 s</t>
        </is>
      </c>
      <c r="H523" s="3" t="inlineStr">
        <is>
          <t>见子项</t>
        </is>
      </c>
      <c r="I523" s="4" t="inlineStr">
        <is>
          <t>（未填写原因，需补）</t>
        </is>
      </c>
      <c r="J523" s="6" t="inlineStr">
        <is>
          <t>待测</t>
        </is>
      </c>
      <c r="K523" s="2" t="n"/>
      <c r="L523" s="2" t="inlineStr">
        <is>
          <t>2026-08-18</t>
        </is>
      </c>
      <c r="M523" s="3" t="n"/>
      <c r="N523" s="2" t="n"/>
    </row>
    <row r="524">
      <c r="A524" s="2" t="n">
        <v>523</v>
      </c>
      <c r="B524" s="2" t="inlineStr">
        <is>
          <t>TT-01.1</t>
        </is>
      </c>
      <c r="C524" s="3" t="inlineStr">
        <is>
          <t>型式试验</t>
        </is>
      </c>
      <c r="D524" s="3" t="inlineStr">
        <is>
          <t>报警：端子-机壳</t>
        </is>
      </c>
      <c r="E524" s="2" t="inlineStr">
        <is>
          <t>P2</t>
        </is>
      </c>
      <c r="F524" s="3" t="inlineStr">
        <is>
          <t>GB 4717 5.13</t>
        </is>
      </c>
      <c r="G524" s="3" t="inlineStr">
        <is>
          <t>（见父案步骤）</t>
        </is>
      </c>
      <c r="H524" s="3" t="inlineStr">
        <is>
          <t>端子-机壳 ≥20 MΩ</t>
        </is>
      </c>
      <c r="I524" s="4" t="inlineStr">
        <is>
          <t>（未填写原因，需补）</t>
        </is>
      </c>
      <c r="J524" s="6" t="inlineStr">
        <is>
          <t>待测</t>
        </is>
      </c>
      <c r="K524" s="2" t="n"/>
      <c r="L524" s="2" t="inlineStr">
        <is>
          <t>2026-08-18</t>
        </is>
      </c>
      <c r="M524" s="3" t="n"/>
      <c r="N524" s="2" t="n"/>
    </row>
    <row r="525">
      <c r="A525" s="2" t="n">
        <v>524</v>
      </c>
      <c r="B525" s="2" t="inlineStr">
        <is>
          <t>TT-01.2</t>
        </is>
      </c>
      <c r="C525" s="3" t="inlineStr">
        <is>
          <t>型式试验</t>
        </is>
      </c>
      <c r="D525" s="3" t="inlineStr">
        <is>
          <t>报警：电源-机壳</t>
        </is>
      </c>
      <c r="E525" s="2" t="inlineStr">
        <is>
          <t>P2</t>
        </is>
      </c>
      <c r="F525" s="3" t="inlineStr">
        <is>
          <t>GB 4717 5.13</t>
        </is>
      </c>
      <c r="G525" s="3" t="inlineStr">
        <is>
          <t>（见父案步骤）</t>
        </is>
      </c>
      <c r="H525" s="3" t="inlineStr">
        <is>
          <t>电源-机壳 ≥50 MΩ</t>
        </is>
      </c>
      <c r="I525" s="4" t="inlineStr">
        <is>
          <t>（未填写原因，需补）</t>
        </is>
      </c>
      <c r="J525" s="6" t="inlineStr">
        <is>
          <t>待测</t>
        </is>
      </c>
      <c r="K525" s="2" t="n"/>
      <c r="L525" s="2" t="inlineStr">
        <is>
          <t>2026-08-18</t>
        </is>
      </c>
      <c r="M525" s="3" t="n"/>
      <c r="N525" s="2" t="n"/>
    </row>
    <row r="526">
      <c r="A526" s="2" t="n">
        <v>525</v>
      </c>
      <c r="B526" s="2" t="inlineStr">
        <is>
          <t>TT-01.3</t>
        </is>
      </c>
      <c r="C526" s="3" t="inlineStr">
        <is>
          <t>型式试验</t>
        </is>
      </c>
      <c r="D526" s="3" t="inlineStr">
        <is>
          <t>气灭：绝缘电阻</t>
        </is>
      </c>
      <c r="E526" s="2" t="inlineStr">
        <is>
          <t>P2</t>
        </is>
      </c>
      <c r="F526" s="3" t="inlineStr">
        <is>
          <t>GB 16806 5.5/6.16</t>
        </is>
      </c>
      <c r="G526" s="3" t="inlineStr">
        <is>
          <t>（见父案步骤）</t>
        </is>
      </c>
      <c r="H526" s="3" t="inlineStr">
        <is>
          <t>500 V DC、60 s，≥100 MΩ</t>
        </is>
      </c>
      <c r="I526" s="4" t="inlineStr">
        <is>
          <t>（未填写原因，需补）</t>
        </is>
      </c>
      <c r="J526" s="6" t="inlineStr">
        <is>
          <t>待测</t>
        </is>
      </c>
      <c r="K526" s="2" t="n"/>
      <c r="L526" s="2" t="inlineStr">
        <is>
          <t>2026-08-18</t>
        </is>
      </c>
      <c r="M526" s="3" t="n"/>
      <c r="N526" s="2" t="n"/>
    </row>
    <row r="527">
      <c r="A527" s="2" t="n">
        <v>526</v>
      </c>
      <c r="B527" s="2" t="inlineStr">
        <is>
          <t>TT-02</t>
        </is>
      </c>
      <c r="C527" s="3" t="inlineStr">
        <is>
          <t>型式试验</t>
        </is>
      </c>
      <c r="D527" s="3" t="n"/>
      <c r="E527" s="2" t="inlineStr">
        <is>
          <t>P2</t>
        </is>
      </c>
      <c r="F527" s="3" t="inlineStr">
        <is>
          <t>GB 4717 5.14；GB 16806 5.6/6.17</t>
        </is>
      </c>
      <c r="G527" s="3" t="inlineStr">
        <is>
          <t>泄漏电流（总案）</t>
        </is>
      </c>
      <c r="H527" s="3" t="inlineStr">
        <is>
          <t>见子项</t>
        </is>
      </c>
      <c r="I527" s="4" t="inlineStr">
        <is>
          <t>（未填写原因，需补）</t>
        </is>
      </c>
      <c r="J527" s="6" t="inlineStr">
        <is>
          <t>待测</t>
        </is>
      </c>
      <c r="K527" s="2" t="n"/>
      <c r="L527" s="2" t="inlineStr">
        <is>
          <t>2026-08-18</t>
        </is>
      </c>
      <c r="M527" s="3" t="n"/>
      <c r="N527" s="2" t="n"/>
    </row>
    <row r="528">
      <c r="A528" s="2" t="n">
        <v>527</v>
      </c>
      <c r="B528" s="2" t="inlineStr">
        <is>
          <t>TT-02.1</t>
        </is>
      </c>
      <c r="C528" s="3" t="inlineStr">
        <is>
          <t>型式试验</t>
        </is>
      </c>
      <c r="D528" s="3" t="inlineStr">
        <is>
          <t>报警：泄漏电流</t>
        </is>
      </c>
      <c r="E528" s="2" t="inlineStr">
        <is>
          <t>P2</t>
        </is>
      </c>
      <c r="F528" s="3" t="inlineStr">
        <is>
          <t>GB 4717 5.14</t>
        </is>
      </c>
      <c r="G528" s="3" t="inlineStr">
        <is>
          <t>（见父案步骤）</t>
        </is>
      </c>
      <c r="H528" s="3" t="inlineStr">
        <is>
          <t>同左（5.14，原文如此）</t>
        </is>
      </c>
      <c r="I528" s="4" t="inlineStr">
        <is>
          <t>（未填写原因，需补）</t>
        </is>
      </c>
      <c r="J528" s="6" t="inlineStr">
        <is>
          <t>待测</t>
        </is>
      </c>
      <c r="K528" s="2" t="n"/>
      <c r="L528" s="2" t="inlineStr">
        <is>
          <t>2026-08-18</t>
        </is>
      </c>
      <c r="M528" s="3" t="n"/>
      <c r="N528" s="2" t="n"/>
    </row>
    <row r="529">
      <c r="A529" s="2" t="n">
        <v>528</v>
      </c>
      <c r="B529" s="2" t="inlineStr">
        <is>
          <t>TT-02.2</t>
        </is>
      </c>
      <c r="C529" s="3" t="inlineStr">
        <is>
          <t>型式试验</t>
        </is>
      </c>
      <c r="D529" s="3" t="inlineStr">
        <is>
          <t>气灭：泄漏电流</t>
        </is>
      </c>
      <c r="E529" s="2" t="inlineStr">
        <is>
          <t>P2</t>
        </is>
      </c>
      <c r="F529" s="3" t="inlineStr">
        <is>
          <t>GB 16806 5.6/6.17</t>
        </is>
      </c>
      <c r="G529" s="3" t="inlineStr">
        <is>
          <t>（见父案步骤）</t>
        </is>
      </c>
      <c r="H529" s="3" t="inlineStr">
        <is>
          <t>1.06 倍额定电压，≤0.5 mA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TT-03</t>
        </is>
      </c>
      <c r="C530" s="3" t="inlineStr">
        <is>
          <t>型式试验</t>
        </is>
      </c>
      <c r="D530" s="3" t="inlineStr">
        <is>
          <t>电气强度</t>
        </is>
      </c>
      <c r="E530" s="2" t="inlineStr">
        <is>
          <t>P2</t>
        </is>
      </c>
      <c r="F530" s="3" t="inlineStr">
        <is>
          <t>GB 16806 5.7/6.18</t>
        </is>
      </c>
      <c r="G530" s="3" t="inlineStr">
        <is>
          <t>报警控制器表 4 未列 5.15 不做；气灭控制器做</t>
        </is>
      </c>
      <c r="H530" s="3" t="inlineStr">
        <is>
          <t>1 250 V/50 Hz、60 s、升降压 100～500 V/s、不击穿（≤20 mA）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TT-04</t>
        </is>
      </c>
      <c r="C531" s="3" t="inlineStr">
        <is>
          <t>型式试验</t>
        </is>
      </c>
      <c r="D531" s="3" t="n"/>
      <c r="E531" s="2" t="inlineStr">
        <is>
          <t>P2</t>
        </is>
      </c>
      <c r="F531" s="3" t="inlineStr">
        <is>
          <t>GB 4717 5.16；GB 16806 6.19</t>
        </is>
      </c>
      <c r="G531" s="3" t="inlineStr">
        <is>
          <t>射频电磁场辐射（总案）</t>
        </is>
      </c>
      <c r="H531" s="3" t="inlineStr">
        <is>
          <t>见子项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TT-04.1</t>
        </is>
      </c>
      <c r="C532" s="3" t="inlineStr">
        <is>
          <t>型式试验</t>
        </is>
      </c>
      <c r="D532" s="3" t="inlineStr">
        <is>
          <t>报警</t>
        </is>
      </c>
      <c r="E532" s="2" t="inlineStr">
        <is>
          <t>P2</t>
        </is>
      </c>
      <c r="F532" s="3" t="inlineStr">
        <is>
          <t>GB 4717 5.16</t>
        </is>
      </c>
      <c r="G532" s="3" t="inlineStr">
        <is>
          <t>（见父案步骤）</t>
        </is>
      </c>
      <c r="H532" s="3" t="inlineStr">
        <is>
          <t>同参数（5.16）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TT-04.2</t>
        </is>
      </c>
      <c r="C533" s="3" t="inlineStr">
        <is>
          <t>型式试验</t>
        </is>
      </c>
      <c r="D533" s="3" t="inlineStr">
        <is>
          <t>气灭</t>
        </is>
      </c>
      <c r="E533" s="2" t="inlineStr">
        <is>
          <t>P2</t>
        </is>
      </c>
      <c r="F533" s="3" t="inlineStr">
        <is>
          <t>GB 16806 6.19</t>
        </is>
      </c>
      <c r="G533" s="3" t="inlineStr">
        <is>
          <t>（见父案步骤）</t>
        </is>
      </c>
      <c r="H533" s="3" t="inlineStr">
        <is>
          <t>10 V/m、80～1 000 MHz、80%AM(1 kHz)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TT-05</t>
        </is>
      </c>
      <c r="C534" s="3" t="inlineStr">
        <is>
          <t>型式试验</t>
        </is>
      </c>
      <c r="D534" s="3" t="n"/>
      <c r="E534" s="2" t="inlineStr">
        <is>
          <t>P2</t>
        </is>
      </c>
      <c r="F534" s="3" t="inlineStr">
        <is>
          <t>GB 4717 5.17；GB 16806 6.20</t>
        </is>
      </c>
      <c r="G534" s="3" t="inlineStr">
        <is>
          <t>射频传导骚扰（总案）</t>
        </is>
      </c>
      <c r="H534" s="3" t="inlineStr">
        <is>
          <t>见子项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TT-05.1</t>
        </is>
      </c>
      <c r="C535" s="3" t="inlineStr">
        <is>
          <t>型式试验</t>
        </is>
      </c>
      <c r="D535" s="3" t="inlineStr">
        <is>
          <t>报警</t>
        </is>
      </c>
      <c r="E535" s="2" t="inlineStr">
        <is>
          <t>P2</t>
        </is>
      </c>
      <c r="F535" s="3" t="inlineStr">
        <is>
          <t>GB 4717 5.17</t>
        </is>
      </c>
      <c r="G535" s="3" t="inlineStr">
        <is>
          <t>（见父案步骤）</t>
        </is>
      </c>
      <c r="H535" s="3" t="inlineStr">
        <is>
          <t>140 dBμV、0.15～100 MHz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TT-05.2</t>
        </is>
      </c>
      <c r="C536" s="3" t="inlineStr">
        <is>
          <t>型式试验</t>
        </is>
      </c>
      <c r="D536" s="3" t="inlineStr">
        <is>
          <t>气灭</t>
        </is>
      </c>
      <c r="E536" s="2" t="inlineStr">
        <is>
          <t>P2</t>
        </is>
      </c>
      <c r="F536" s="3" t="inlineStr">
        <is>
          <t>GB 16806 6.20</t>
        </is>
      </c>
      <c r="G536" s="3" t="inlineStr">
        <is>
          <t>（见父案步骤）</t>
        </is>
      </c>
      <c r="H536" s="3" t="inlineStr">
        <is>
          <t>140 dBμV、0.15～80 MHz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TT-06</t>
        </is>
      </c>
      <c r="C537" s="3" t="inlineStr">
        <is>
          <t>型式试验</t>
        </is>
      </c>
      <c r="D537" s="3" t="n"/>
      <c r="E537" s="2" t="inlineStr">
        <is>
          <t>P2</t>
        </is>
      </c>
      <c r="F537" s="3" t="inlineStr">
        <is>
          <t>GB 4717 5.18；GB 16806 6.21</t>
        </is>
      </c>
      <c r="G537" s="3" t="inlineStr">
        <is>
          <t>静电放电（总案）</t>
        </is>
      </c>
      <c r="H537" s="3" t="inlineStr">
        <is>
          <t>见子项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TT-06.1</t>
        </is>
      </c>
      <c r="C538" s="3" t="inlineStr">
        <is>
          <t>型式试验</t>
        </is>
      </c>
      <c r="D538" s="3" t="inlineStr">
        <is>
          <t>报警</t>
        </is>
      </c>
      <c r="E538" s="2" t="inlineStr">
        <is>
          <t>P2</t>
        </is>
      </c>
      <c r="F538" s="3" t="inlineStr">
        <is>
          <t>GB 4717 5.18</t>
        </is>
      </c>
      <c r="G538" s="3" t="inlineStr">
        <is>
          <t>（见父案步骤）</t>
        </is>
      </c>
      <c r="H538" s="3" t="inlineStr">
        <is>
          <t>同参数（5.18）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TT-06.2</t>
        </is>
      </c>
      <c r="C539" s="3" t="inlineStr">
        <is>
          <t>型式试验</t>
        </is>
      </c>
      <c r="D539" s="3" t="inlineStr">
        <is>
          <t>气灭</t>
        </is>
      </c>
      <c r="E539" s="2" t="inlineStr">
        <is>
          <t>P2</t>
        </is>
      </c>
      <c r="F539" s="3" t="inlineStr">
        <is>
          <t>GB 16806 6.21</t>
        </is>
      </c>
      <c r="G539" s="3" t="inlineStr">
        <is>
          <t>（见父案步骤）</t>
        </is>
      </c>
      <c r="H539" s="3" t="inlineStr">
        <is>
          <t>空气 8 kV / 接触 6 kV、每点 10 次、间隔 ≥1 s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TT-07</t>
        </is>
      </c>
      <c r="C540" s="3" t="inlineStr">
        <is>
          <t>型式试验</t>
        </is>
      </c>
      <c r="D540" s="3" t="n"/>
      <c r="E540" s="2" t="inlineStr">
        <is>
          <t>P2</t>
        </is>
      </c>
      <c r="F540" s="3" t="inlineStr">
        <is>
          <t>GB 4717 5.19；GB 16806 6.22</t>
        </is>
      </c>
      <c r="G540" s="3" t="inlineStr">
        <is>
          <t>电快速瞬变（总案）</t>
        </is>
      </c>
      <c r="H540" s="3" t="inlineStr">
        <is>
          <t>见子项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TT-07.1</t>
        </is>
      </c>
      <c r="C541" s="3" t="inlineStr">
        <is>
          <t>型式试验</t>
        </is>
      </c>
      <c r="D541" s="3" t="inlineStr">
        <is>
          <t>报警</t>
        </is>
      </c>
      <c r="E541" s="2" t="inlineStr">
        <is>
          <t>P2</t>
        </is>
      </c>
      <c r="F541" s="3" t="inlineStr">
        <is>
          <t>GB 4717 5.19</t>
        </is>
      </c>
      <c r="G541" s="3" t="inlineStr">
        <is>
          <t>（见父案步骤）</t>
        </is>
      </c>
      <c r="H541" s="3" t="inlineStr">
        <is>
          <t>AC 线 2 kV/2.5 kHz、其他线 1 kV/5 kHz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TT-07.2</t>
        </is>
      </c>
      <c r="C542" s="3" t="inlineStr">
        <is>
          <t>型式试验</t>
        </is>
      </c>
      <c r="D542" s="3" t="inlineStr">
        <is>
          <t>气灭</t>
        </is>
      </c>
      <c r="E542" s="2" t="inlineStr">
        <is>
          <t>P2</t>
        </is>
      </c>
      <c r="F542" s="3" t="inlineStr">
        <is>
          <t>GB 16806 6.22</t>
        </is>
      </c>
      <c r="G542" s="3" t="inlineStr">
        <is>
          <t>（见父案步骤）</t>
        </is>
      </c>
      <c r="H542" s="3" t="inlineStr">
        <is>
          <t>AC 线 2 kV/5 kHz、其他线 1 kV/5 kHz、每次 1 min×3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TT-08</t>
        </is>
      </c>
      <c r="C543" s="3" t="inlineStr">
        <is>
          <t>型式试验</t>
        </is>
      </c>
      <c r="D543" s="3" t="n"/>
      <c r="E543" s="2" t="inlineStr">
        <is>
          <t>P2</t>
        </is>
      </c>
      <c r="F543" s="3" t="inlineStr">
        <is>
          <t>GB 4717 5.20；GB 16806 6.23</t>
        </is>
      </c>
      <c r="G543" s="3" t="inlineStr">
        <is>
          <t>浪涌（总案）</t>
        </is>
      </c>
      <c r="H543" s="3" t="inlineStr">
        <is>
          <t>见子项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TT-08.1</t>
        </is>
      </c>
      <c r="C544" s="3" t="inlineStr">
        <is>
          <t>型式试验</t>
        </is>
      </c>
      <c r="D544" s="3" t="inlineStr">
        <is>
          <t>报警</t>
        </is>
      </c>
      <c r="E544" s="2" t="inlineStr">
        <is>
          <t>P2</t>
        </is>
      </c>
      <c r="F544" s="3" t="inlineStr">
        <is>
          <t>GB 4717 5.20</t>
        </is>
      </c>
      <c r="G544" s="3" t="inlineStr">
        <is>
          <t>（见父案步骤）</t>
        </is>
      </c>
      <c r="H544" s="3" t="inlineStr">
        <is>
          <t>AC 线-线 1 kV、线-地 2 kV；其他线-地 1 kV；5 次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TT-08.2</t>
        </is>
      </c>
      <c r="C545" s="3" t="inlineStr">
        <is>
          <t>型式试验</t>
        </is>
      </c>
      <c r="D545" s="3" t="inlineStr">
        <is>
          <t>气灭</t>
        </is>
      </c>
      <c r="E545" s="2" t="inlineStr">
        <is>
          <t>P2</t>
        </is>
      </c>
      <c r="F545" s="3" t="inlineStr">
        <is>
          <t>GB 16806 6.23</t>
        </is>
      </c>
      <c r="G545" s="3" t="inlineStr">
        <is>
          <t>（见父案步骤）</t>
        </is>
      </c>
      <c r="H545" s="3" t="inlineStr">
        <is>
          <t>AC 线-线 1 kV、线-地 2 kV；其他线-地 1 kV、线-线 0.5 kV；5 次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TT-09</t>
        </is>
      </c>
      <c r="C546" s="3" t="inlineStr">
        <is>
          <t>型式试验</t>
        </is>
      </c>
      <c r="D546" s="3" t="n"/>
      <c r="E546" s="2" t="inlineStr">
        <is>
          <t>P2</t>
        </is>
      </c>
      <c r="F546" s="3" t="inlineStr">
        <is>
          <t>GB 4717 5.21；GB 16806 6.24</t>
        </is>
      </c>
      <c r="G546" s="3" t="inlineStr">
        <is>
          <t>电源瞬变（总案）</t>
        </is>
      </c>
      <c r="H546" s="3" t="inlineStr">
        <is>
          <t>见子项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TT-09.1</t>
        </is>
      </c>
      <c r="C547" s="3" t="inlineStr">
        <is>
          <t>型式试验</t>
        </is>
      </c>
      <c r="D547" s="3" t="inlineStr">
        <is>
          <t>报警</t>
        </is>
      </c>
      <c r="E547" s="2" t="inlineStr">
        <is>
          <t>P2</t>
        </is>
      </c>
      <c r="F547" s="3" t="inlineStr">
        <is>
          <t>GB 4717 5.21</t>
        </is>
      </c>
      <c r="G547" s="3" t="inlineStr">
        <is>
          <t>（见父案步骤）</t>
        </is>
      </c>
      <c r="H547" s="3" t="inlineStr">
        <is>
          <t>通 9 s/断 1 s×500 次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TT-09.2</t>
        </is>
      </c>
      <c r="C548" s="3" t="inlineStr">
        <is>
          <t>型式试验</t>
        </is>
      </c>
      <c r="D548" s="3" t="inlineStr">
        <is>
          <t>气灭</t>
        </is>
      </c>
      <c r="E548" s="2" t="inlineStr">
        <is>
          <t>P2</t>
        </is>
      </c>
      <c r="F548" s="3" t="inlineStr">
        <is>
          <t>GB 16806 6.24</t>
        </is>
      </c>
      <c r="G548" s="3" t="inlineStr">
        <is>
          <t>（见父案步骤）</t>
        </is>
      </c>
      <c r="H548" s="3" t="inlineStr">
        <is>
          <t>通 9 s/断 1 s×500 次、6 次/min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TT-10</t>
        </is>
      </c>
      <c r="C549" s="3" t="inlineStr">
        <is>
          <t>型式试验</t>
        </is>
      </c>
      <c r="D549" s="3" t="n"/>
      <c r="E549" s="2" t="inlineStr">
        <is>
          <t>P2</t>
        </is>
      </c>
      <c r="F549" s="3" t="inlineStr">
        <is>
          <t>GB 4717 5.22；GB 16806 6.25</t>
        </is>
      </c>
      <c r="G549" s="3" t="inlineStr">
        <is>
          <t>电压暂降（总案）</t>
        </is>
      </c>
      <c r="H549" s="3" t="inlineStr">
        <is>
          <t>见子项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TT-10.1</t>
        </is>
      </c>
      <c r="C550" s="3" t="inlineStr">
        <is>
          <t>型式试验</t>
        </is>
      </c>
      <c r="D550" s="3" t="inlineStr">
        <is>
          <t>报警</t>
        </is>
      </c>
      <c r="E550" s="2" t="inlineStr">
        <is>
          <t>P2</t>
        </is>
      </c>
      <c r="F550" s="3" t="inlineStr">
        <is>
          <t>GB 4717 5.22</t>
        </is>
      </c>
      <c r="G550" s="3" t="inlineStr">
        <is>
          <t>（见父案步骤）</t>
        </is>
      </c>
      <c r="H550" s="3" t="inlineStr">
        <is>
          <t>40%/20 ms×10；0 V/10 ms×10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TT-10.2</t>
        </is>
      </c>
      <c r="C551" s="3" t="inlineStr">
        <is>
          <t>型式试验</t>
        </is>
      </c>
      <c r="D551" s="3" t="inlineStr">
        <is>
          <t>气灭</t>
        </is>
      </c>
      <c r="E551" s="2" t="inlineStr">
        <is>
          <t>P2</t>
        </is>
      </c>
      <c r="F551" s="3" t="inlineStr">
        <is>
          <t>GB 16806 6.25</t>
        </is>
      </c>
      <c r="G551" s="3" t="inlineStr">
        <is>
          <t>（见父案步骤）</t>
        </is>
      </c>
      <c r="H551" s="3" t="inlineStr">
        <is>
          <t>40%/200 ms×10；0 V/20 ms×10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TT-11</t>
        </is>
      </c>
      <c r="C552" s="3" t="inlineStr">
        <is>
          <t>型式试验</t>
        </is>
      </c>
      <c r="D552" s="3" t="n"/>
      <c r="E552" s="2" t="inlineStr">
        <is>
          <t>P2</t>
        </is>
      </c>
      <c r="F552" s="3" t="inlineStr">
        <is>
          <t>GB 4717 5.23；GB 16806 6.26</t>
        </is>
      </c>
      <c r="G552" s="3" t="inlineStr">
        <is>
          <t>低温（运行）（总案）</t>
        </is>
      </c>
      <c r="H552" s="3" t="inlineStr">
        <is>
          <t>见子项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TT-11.1</t>
        </is>
      </c>
      <c r="C553" s="3" t="inlineStr">
        <is>
          <t>型式试验</t>
        </is>
      </c>
      <c r="D553" s="3" t="inlineStr">
        <is>
          <t>报警</t>
        </is>
      </c>
      <c r="E553" s="2" t="inlineStr">
        <is>
          <t>P2</t>
        </is>
      </c>
      <c r="F553" s="3" t="inlineStr">
        <is>
          <t>GB 4717 5.23</t>
        </is>
      </c>
      <c r="G553" s="3" t="inlineStr">
        <is>
          <t>（见父案步骤）</t>
        </is>
      </c>
      <c r="H553" s="3" t="inlineStr">
        <is>
          <t>0℃±3℃、16 h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TT-11.2</t>
        </is>
      </c>
      <c r="C554" s="3" t="inlineStr">
        <is>
          <t>型式试验</t>
        </is>
      </c>
      <c r="D554" s="3" t="inlineStr">
        <is>
          <t>气灭</t>
        </is>
      </c>
      <c r="E554" s="2" t="inlineStr">
        <is>
          <t>P2</t>
        </is>
      </c>
      <c r="F554" s="3" t="inlineStr">
        <is>
          <t>GB 16806 6.26</t>
        </is>
      </c>
      <c r="G554" s="3" t="inlineStr">
        <is>
          <t>（见父案步骤）</t>
        </is>
      </c>
      <c r="H554" s="3" t="inlineStr">
        <is>
          <t>-10℃±2℃、16 h、变温 ≤1℃/min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TT-12</t>
        </is>
      </c>
      <c r="C555" s="3" t="inlineStr">
        <is>
          <t>型式试验</t>
        </is>
      </c>
      <c r="D555" s="3" t="n"/>
      <c r="E555" s="2" t="inlineStr">
        <is>
          <t>P2</t>
        </is>
      </c>
      <c r="F555" s="3" t="inlineStr">
        <is>
          <t>GB 4717 5.24；GB 16806 6.27</t>
        </is>
      </c>
      <c r="G555" s="3" t="inlineStr">
        <is>
          <t>恒定湿热（运行）（总案）</t>
        </is>
      </c>
      <c r="H555" s="3" t="inlineStr">
        <is>
          <t>见子项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TT-12.1</t>
        </is>
      </c>
      <c r="C556" s="3" t="inlineStr">
        <is>
          <t>型式试验</t>
        </is>
      </c>
      <c r="D556" s="3" t="inlineStr">
        <is>
          <t>报警</t>
        </is>
      </c>
      <c r="E556" s="2" t="inlineStr">
        <is>
          <t>P2</t>
        </is>
      </c>
      <c r="F556" s="3" t="inlineStr">
        <is>
          <t>GB 4717 5.24</t>
        </is>
      </c>
      <c r="G556" s="3" t="inlineStr">
        <is>
          <t>（见父案步骤）</t>
        </is>
      </c>
      <c r="H556" s="3" t="inlineStr">
        <is>
          <t>40℃±2℃、90%～95%RH、4 d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TT-12.2</t>
        </is>
      </c>
      <c r="C557" s="3" t="inlineStr">
        <is>
          <t>型式试验</t>
        </is>
      </c>
      <c r="D557" s="3" t="inlineStr">
        <is>
          <t>气灭</t>
        </is>
      </c>
      <c r="E557" s="2" t="inlineStr">
        <is>
          <t>P2</t>
        </is>
      </c>
      <c r="F557" s="3" t="inlineStr">
        <is>
          <t>GB 16806 6.27</t>
        </is>
      </c>
      <c r="G557" s="3" t="inlineStr">
        <is>
          <t>（见父案步骤）</t>
        </is>
      </c>
      <c r="H557" s="3" t="inlineStr">
        <is>
          <t>40℃±2℃、93%±3%RH、4 d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TT-13</t>
        </is>
      </c>
      <c r="C558" s="3" t="inlineStr">
        <is>
          <t>型式试验</t>
        </is>
      </c>
      <c r="D558" s="3" t="inlineStr">
        <is>
          <t>恒定湿热（耐久）</t>
        </is>
      </c>
      <c r="E558" s="2" t="inlineStr">
        <is>
          <t>P2</t>
        </is>
      </c>
      <c r="F558" s="3" t="inlineStr">
        <is>
          <t>GB 16806 6.28</t>
        </is>
      </c>
      <c r="G558" s="3" t="inlineStr">
        <is>
          <t>报警控制器表 4 未列 5.25 不做；气灭控制器做</t>
        </is>
      </c>
      <c r="H558" s="3" t="inlineStr">
        <is>
          <t>40℃±2℃、93%±3%RH、21 d 不通电、恢复 12 h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TT-14</t>
        </is>
      </c>
      <c r="C559" s="3" t="inlineStr">
        <is>
          <t>型式试验</t>
        </is>
      </c>
      <c r="D559" s="3" t="n"/>
      <c r="E559" s="2" t="inlineStr">
        <is>
          <t>P2</t>
        </is>
      </c>
      <c r="F559" s="3" t="inlineStr">
        <is>
          <t>GB 4717 5.26；GB 16806 6.29</t>
        </is>
      </c>
      <c r="G559" s="3" t="inlineStr">
        <is>
          <t>振动（运行）（总案）</t>
        </is>
      </c>
      <c r="H559" s="3" t="inlineStr">
        <is>
          <t>见子项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TT-14.1</t>
        </is>
      </c>
      <c r="C560" s="3" t="inlineStr">
        <is>
          <t>型式试验</t>
        </is>
      </c>
      <c r="D560" s="3" t="inlineStr">
        <is>
          <t>报警</t>
        </is>
      </c>
      <c r="E560" s="2" t="inlineStr">
        <is>
          <t>P2</t>
        </is>
      </c>
      <c r="F560" s="3" t="inlineStr">
        <is>
          <t>GB 4717 5.26</t>
        </is>
      </c>
      <c r="G560" s="3" t="inlineStr">
        <is>
          <t>（见父案步骤）</t>
        </is>
      </c>
      <c r="H560" s="3" t="inlineStr">
        <is>
          <t>10～150 Hz、0.981 m/s²、3 轴各 1 循环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TT-14.2</t>
        </is>
      </c>
      <c r="C561" s="3" t="inlineStr">
        <is>
          <t>型式试验</t>
        </is>
      </c>
      <c r="D561" s="3" t="inlineStr">
        <is>
          <t>气灭</t>
        </is>
      </c>
      <c r="E561" s="2" t="inlineStr">
        <is>
          <t>P2</t>
        </is>
      </c>
      <c r="F561" s="3" t="inlineStr">
        <is>
          <t>GB 16806 6.29</t>
        </is>
      </c>
      <c r="G561" s="3" t="inlineStr">
        <is>
          <t>（见父案步骤）</t>
        </is>
      </c>
      <c r="H561" s="3" t="inlineStr">
        <is>
          <t>10～150 Hz、5 m/s²、1 oct/min、3 轴各 1 循环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TT-15</t>
        </is>
      </c>
      <c r="C562" s="3" t="inlineStr">
        <is>
          <t>型式试验</t>
        </is>
      </c>
      <c r="D562" s="3" t="n"/>
      <c r="E562" s="2" t="inlineStr">
        <is>
          <t>P2</t>
        </is>
      </c>
      <c r="F562" s="3" t="inlineStr">
        <is>
          <t>GB 4717 5.28；GB 16806 6.30</t>
        </is>
      </c>
      <c r="G562" s="3" t="inlineStr">
        <is>
          <t>碰撞（总案）</t>
        </is>
      </c>
      <c r="H562" s="3" t="inlineStr">
        <is>
          <t>见子项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TT-15.1</t>
        </is>
      </c>
      <c r="C563" s="3" t="inlineStr">
        <is>
          <t>型式试验</t>
        </is>
      </c>
      <c r="D563" s="3" t="inlineStr">
        <is>
          <t>报警</t>
        </is>
      </c>
      <c r="E563" s="2" t="inlineStr">
        <is>
          <t>P2</t>
        </is>
      </c>
      <c r="F563" s="3" t="inlineStr">
        <is>
          <t>GB 4717 5.28</t>
        </is>
      </c>
      <c r="G563" s="3" t="inlineStr">
        <is>
          <t>（见父案步骤）</t>
        </is>
      </c>
      <c r="H563" s="3" t="inlineStr">
        <is>
          <t>同参数（5.28）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TT-15.2</t>
        </is>
      </c>
      <c r="C564" s="3" t="inlineStr">
        <is>
          <t>型式试验</t>
        </is>
      </c>
      <c r="D564" s="3" t="inlineStr">
        <is>
          <t>气灭</t>
        </is>
      </c>
      <c r="E564" s="2" t="inlineStr">
        <is>
          <t>P2</t>
        </is>
      </c>
      <c r="F564" s="3" t="inlineStr">
        <is>
          <t>GB 16806 6.30</t>
        </is>
      </c>
      <c r="G564" s="3" t="inlineStr">
        <is>
          <t>（见父案步骤）</t>
        </is>
      </c>
      <c r="H564" s="3" t="inlineStr">
        <is>
          <t>0.5 J±0.04 J×3 次/易损部件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TT-16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附录 A</t>
        </is>
      </c>
      <c r="G565" s="3" t="inlineStr">
        <is>
          <t>外壳燃烧（非金属外壳）</t>
        </is>
      </c>
      <c r="H565" s="3" t="inlineStr">
        <is>
          <t>附录 A：样块 80×10 mm、氧含量 28%、气流 40 mm/s、施焰 30 s；燃烧长度 ≤50 mm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UI-29</t>
        </is>
      </c>
      <c r="C566" s="3" t="inlineStr">
        <is>
          <t>人机菜单(产品级)</t>
        </is>
      </c>
      <c r="D566" s="3" t="n"/>
      <c r="E566" s="2" t="inlineStr">
        <is>
          <t>建议</t>
        </is>
      </c>
      <c r="F566" s="3" t="inlineStr">
        <is>
          <t>表1 高级向下兼容</t>
        </is>
      </c>
      <c r="G566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66" s="3" t="inlineStr">
        <is>
          <t>见子项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UI-01.4</t>
        </is>
      </c>
      <c r="C567" s="3" t="inlineStr">
        <is>
          <t>人机菜单(产品级)</t>
        </is>
      </c>
      <c r="D567" s="3" t="inlineStr">
        <is>
          <t>菜单页·详情返回</t>
        </is>
      </c>
      <c r="E567" s="2" t="inlineStr">
        <is>
          <t>P1</t>
        </is>
      </c>
      <c r="F567" s="3" t="inlineStr">
        <is>
          <t>现场补充</t>
        </is>
      </c>
      <c r="G567" s="3" t="inlineStr">
        <is>
          <t>挂帐列表点击详情</t>
        </is>
      </c>
      <c r="H567" s="3" t="inlineStr">
        <is>
          <t>右上角返回按钮应该能返回到菜单页</t>
        </is>
      </c>
      <c r="I567" s="3" t="inlineStr">
        <is>
          <t>无法返回到菜单页</t>
        </is>
      </c>
      <c r="J567" s="7" t="inlineStr">
        <is>
          <t>不通过</t>
        </is>
      </c>
      <c r="K567" s="2" t="n"/>
      <c r="L567" s="2" t="inlineStr">
        <is>
          <t>2026-08-18</t>
        </is>
      </c>
      <c r="M567" s="3" t="inlineStr">
        <is>
          <t>现场实测补充用例</t>
        </is>
      </c>
      <c r="N567" s="2" t="inlineStr">
        <is>
          <t>查询 / 历史记录</t>
        </is>
      </c>
    </row>
    <row r="568">
      <c r="A568" s="2" t="n">
        <v>567</v>
      </c>
      <c r="B568" s="2" t="inlineStr">
        <is>
          <t>DP-06</t>
        </is>
      </c>
      <c r="C568" s="3" t="inlineStr">
        <is>
          <t>显示与查询</t>
        </is>
      </c>
      <c r="D568" s="3" t="inlineStr">
        <is>
          <t>历史记录·无数据时列表</t>
        </is>
      </c>
      <c r="E568" s="2" t="inlineStr">
        <is>
          <t>P1</t>
        </is>
      </c>
      <c r="F568" s="3" t="inlineStr">
        <is>
          <t>现场补充</t>
        </is>
      </c>
      <c r="G568" s="3" t="inlineStr">
        <is>
          <t>查询本机历史记录</t>
        </is>
      </c>
      <c r="H568" s="3" t="inlineStr">
        <is>
          <t>查询本机火警/监管/启动/反馈/屏蔽/其他历史记录</t>
        </is>
      </c>
      <c r="I568" s="3" t="inlineStr">
        <is>
          <t>无数据时列表里 0 条数据</t>
        </is>
      </c>
      <c r="J568" s="5" t="inlineStr">
        <is>
          <t>通过</t>
        </is>
      </c>
      <c r="K568" s="2" t="n"/>
      <c r="L568" s="2" t="inlineStr">
        <is>
          <t>2026-08-18</t>
        </is>
      </c>
      <c r="M568" s="3" t="inlineStr">
        <is>
          <t>现场实测补充用例</t>
        </is>
      </c>
      <c r="N568" s="2" t="inlineStr">
        <is>
          <t>查询 / 历史记录</t>
        </is>
      </c>
    </row>
    <row r="569">
      <c r="A569" s="2" t="n">
        <v>568</v>
      </c>
      <c r="B569" s="2" t="inlineStr">
        <is>
          <t>DP-07</t>
        </is>
      </c>
      <c r="C569" s="3" t="inlineStr">
        <is>
          <t>显示与查询</t>
        </is>
      </c>
      <c r="D569" s="3" t="inlineStr">
        <is>
          <t>历史记录·有数据时列表</t>
        </is>
      </c>
      <c r="E569" s="2" t="inlineStr">
        <is>
          <t>P1</t>
        </is>
      </c>
      <c r="F569" s="3" t="inlineStr">
        <is>
          <t>现场补充</t>
        </is>
      </c>
      <c r="G569" s="3" t="inlineStr">
        <is>
          <t>查询本机历史记录</t>
        </is>
      </c>
      <c r="H569" s="3" t="inlineStr">
        <is>
          <t>查询本机火警/监管/启动/反馈/屏蔽/其他历史记录</t>
        </is>
      </c>
      <c r="I569" s="3" t="inlineStr">
        <is>
          <t>有数据时列表里对应数据</t>
        </is>
      </c>
      <c r="J569" s="8" t="inlineStr">
        <is>
          <t>通过</t>
        </is>
      </c>
      <c r="K569" s="2" t="n"/>
      <c r="L569" s="2" t="inlineStr">
        <is>
          <t>2026-08-18</t>
        </is>
      </c>
      <c r="M569" s="3" t="inlineStr">
        <is>
          <t>现场实测补充用例</t>
        </is>
      </c>
      <c r="N569" s="2" t="inlineStr">
        <is>
          <t>查询 / 历史记录</t>
        </is>
      </c>
    </row>
    <row r="570">
      <c r="A570" s="2" t="n">
        <v>569</v>
      </c>
      <c r="B570" s="2" t="inlineStr">
        <is>
          <t>DP-08</t>
        </is>
      </c>
      <c r="C570" s="3" t="inlineStr">
        <is>
          <t>显示与查询</t>
        </is>
      </c>
      <c r="D570" s="3" t="inlineStr">
        <is>
          <t>历史记录·列表返回</t>
        </is>
      </c>
      <c r="E570" s="2" t="inlineStr">
        <is>
          <t>P1</t>
        </is>
      </c>
      <c r="F570" s="3" t="inlineStr">
        <is>
          <t>现场补充</t>
        </is>
      </c>
      <c r="G570" s="3" t="inlineStr">
        <is>
          <t>查询本机历史记录列表</t>
        </is>
      </c>
      <c r="H570" s="3" t="inlineStr">
        <is>
          <t>点击返回按钮可以返回</t>
        </is>
      </c>
      <c r="I570" s="3" t="inlineStr">
        <is>
          <t>可以返回</t>
        </is>
      </c>
      <c r="J570" s="5" t="inlineStr">
        <is>
          <t>通过</t>
        </is>
      </c>
      <c r="K570" s="2" t="n"/>
      <c r="L570" s="2" t="inlineStr">
        <is>
          <t>2026-08-18</t>
        </is>
      </c>
      <c r="M570" s="3" t="inlineStr">
        <is>
          <t>现场实测补充用例</t>
        </is>
      </c>
      <c r="N570" s="2" t="inlineStr">
        <is>
          <t>查询 / 历史记录</t>
        </is>
      </c>
    </row>
    <row r="571">
      <c r="A571" s="2" t="n">
        <v>570</v>
      </c>
      <c r="B571" s="2" t="inlineStr">
        <is>
          <t>DP-09</t>
        </is>
      </c>
      <c r="C571" s="3" t="inlineStr">
        <is>
          <t>显示与查询</t>
        </is>
      </c>
      <c r="D571" s="3" t="inlineStr">
        <is>
          <t>历史记录·故障记录分页</t>
        </is>
      </c>
      <c r="E571" s="2" t="inlineStr">
        <is>
          <t>P1</t>
        </is>
      </c>
      <c r="F571" s="3" t="inlineStr">
        <is>
          <t>现场补充</t>
        </is>
      </c>
      <c r="G571" s="3" t="inlineStr">
        <is>
          <t>查询本机历史记录列表</t>
        </is>
      </c>
      <c r="H571" s="3" t="inlineStr">
        <is>
          <t>查询本机故障历史记录</t>
        </is>
      </c>
      <c r="I571" s="3" t="inlineStr">
        <is>
          <t>能查到列表，也能切换页面查看更多数据</t>
        </is>
      </c>
      <c r="J571" s="5" t="inlineStr">
        <is>
          <t>通过</t>
        </is>
      </c>
      <c r="K571" s="2" t="n"/>
      <c r="L571" s="2" t="inlineStr">
        <is>
          <t>2026-08-18</t>
        </is>
      </c>
      <c r="M571" s="3" t="inlineStr">
        <is>
          <t>现场实测补充用例</t>
        </is>
      </c>
      <c r="N571" s="2" t="inlineStr">
        <is>
          <t>查询 / 历史记录</t>
        </is>
      </c>
    </row>
    <row r="572">
      <c r="A572" s="2" t="n">
        <v>571</v>
      </c>
      <c r="B572" s="2" t="inlineStr">
        <is>
          <t>DP-10</t>
        </is>
      </c>
      <c r="C572" s="3" t="inlineStr">
        <is>
          <t>显示与查询</t>
        </is>
      </c>
      <c r="D572" s="3" t="inlineStr">
        <is>
          <t>历史记录·单条详情</t>
        </is>
      </c>
      <c r="E572" s="2" t="inlineStr">
        <is>
          <t>P1</t>
        </is>
      </c>
      <c r="F572" s="3" t="inlineStr">
        <is>
          <t>现场补充</t>
        </is>
      </c>
      <c r="G572" s="3" t="inlineStr">
        <is>
          <t>查询本机历史记录列表</t>
        </is>
      </c>
      <c r="H572" s="3" t="inlineStr">
        <is>
          <t>查询本机故障历史记录，点详情，查看更多信息</t>
        </is>
      </c>
      <c r="I572" s="3" t="inlineStr">
        <is>
          <t>能看到单条记录更详细的信息</t>
        </is>
      </c>
      <c r="J572" s="5" t="inlineStr">
        <is>
          <t>通过</t>
        </is>
      </c>
      <c r="K572" s="2" t="n"/>
      <c r="L572" s="2" t="inlineStr">
        <is>
          <t>2026-08-18</t>
        </is>
      </c>
      <c r="M572" s="3" t="inlineStr">
        <is>
          <t>现场实测补充用例</t>
        </is>
      </c>
      <c r="N572" s="2" t="inlineStr">
        <is>
          <t>查询 / 历史记录</t>
        </is>
      </c>
    </row>
    <row r="573">
      <c r="A573" s="2" t="n">
        <v>572</v>
      </c>
      <c r="B573" s="2" t="inlineStr">
        <is>
          <t>DP-11</t>
        </is>
      </c>
      <c r="C573" s="3" t="inlineStr">
        <is>
          <t>显示与查询</t>
        </is>
      </c>
      <c r="D573" s="3" t="inlineStr">
        <is>
          <t>历史记录·详情返回按钮</t>
        </is>
      </c>
      <c r="E573" s="2" t="inlineStr">
        <is>
          <t>P1</t>
        </is>
      </c>
      <c r="F573" s="3" t="inlineStr">
        <is>
          <t>现场补充</t>
        </is>
      </c>
      <c r="G573" s="3" t="inlineStr">
        <is>
          <t>查询本机历史记录列表</t>
        </is>
      </c>
      <c r="H573" s="3" t="inlineStr">
        <is>
          <t>查询本机故障历史记录返回按钮</t>
        </is>
      </c>
      <c r="I573" s="3" t="inlineStr">
        <is>
          <t>应该显示返回按钮，显示了菜单按钮。点击按钮无响应</t>
        </is>
      </c>
      <c r="J573" s="7" t="inlineStr">
        <is>
          <t>不通过</t>
        </is>
      </c>
      <c r="K573" s="2" t="n"/>
      <c r="L573" s="2" t="inlineStr">
        <is>
          <t>2026-08-18</t>
        </is>
      </c>
      <c r="M573" s="3" t="inlineStr">
        <is>
          <t>现场实测补充用例</t>
        </is>
      </c>
      <c r="N573" s="2" t="inlineStr">
        <is>
          <t>查询 / 历史记录</t>
        </is>
      </c>
    </row>
    <row r="574">
      <c r="A574" s="2" t="n">
        <v>573</v>
      </c>
      <c r="B574" s="2" t="inlineStr">
        <is>
          <t>DP-12</t>
        </is>
      </c>
      <c r="C574" s="3" t="inlineStr">
        <is>
          <t>显示与查询</t>
        </is>
      </c>
      <c r="D574" s="3" t="inlineStr">
        <is>
          <t>历史记录·按设备查询</t>
        </is>
      </c>
      <c r="E574" s="2" t="inlineStr">
        <is>
          <t>P1</t>
        </is>
      </c>
      <c r="F574" s="3" t="inlineStr">
        <is>
          <t>现场补充</t>
        </is>
      </c>
      <c r="G574" s="3" t="inlineStr">
        <is>
          <t>查询本机历史记录列表</t>
        </is>
      </c>
      <c r="H574" s="3" t="inlineStr">
        <is>
          <t>按设备查询</t>
        </is>
      </c>
      <c r="I574" s="3" t="inlineStr">
        <is>
          <t>对应设备类型的记录正确显示</t>
        </is>
      </c>
      <c r="J574" s="5" t="inlineStr">
        <is>
          <t>通过</t>
        </is>
      </c>
      <c r="K574" s="2" t="n"/>
      <c r="L574" s="2" t="inlineStr">
        <is>
          <t>2026-08-18</t>
        </is>
      </c>
      <c r="M574" s="3" t="inlineStr">
        <is>
          <t>现场实测补充用例</t>
        </is>
      </c>
      <c r="N574" s="2" t="inlineStr">
        <is>
          <t>查询 / 历史记录</t>
        </is>
      </c>
    </row>
    <row r="575">
      <c r="A575" s="2" t="n">
        <v>574</v>
      </c>
      <c r="B575" s="2" t="inlineStr">
        <is>
          <t>DP-14</t>
        </is>
      </c>
      <c r="C575" s="3" t="inlineStr">
        <is>
          <t>显示与查询</t>
        </is>
      </c>
      <c r="D575" s="3" t="inlineStr">
        <is>
          <t>历史记录·按时间查询</t>
        </is>
      </c>
      <c r="E575" s="2" t="inlineStr">
        <is>
          <t>P1</t>
        </is>
      </c>
      <c r="F575" s="3" t="inlineStr">
        <is>
          <t>现场补充</t>
        </is>
      </c>
      <c r="G575" s="3" t="inlineStr">
        <is>
          <t>查询本机历史记录列表</t>
        </is>
      </c>
      <c r="H575" s="3" t="inlineStr">
        <is>
          <t>按时间查询</t>
        </is>
      </c>
      <c r="I575" s="3" t="inlineStr">
        <is>
          <t>有结果</t>
        </is>
      </c>
      <c r="J575" s="5" t="inlineStr">
        <is>
          <t>通过</t>
        </is>
      </c>
      <c r="K575" s="2" t="n"/>
      <c r="L575" s="2" t="inlineStr">
        <is>
          <t>2026-08-18</t>
        </is>
      </c>
      <c r="M575" s="3" t="inlineStr">
        <is>
          <t>现场实测补充用例</t>
        </is>
      </c>
      <c r="N575" s="2" t="inlineStr">
        <is>
          <t>查询 / 历史记录</t>
        </is>
      </c>
    </row>
    <row r="576">
      <c r="A576" s="2" t="n">
        <v>575</v>
      </c>
      <c r="B576" s="2" t="inlineStr">
        <is>
          <t>UI-18.4</t>
        </is>
      </c>
      <c r="C576" s="3" t="inlineStr">
        <is>
          <t>人机菜单(产品级)</t>
        </is>
      </c>
      <c r="D576" s="3" t="inlineStr">
        <is>
          <t>设备注册·可注册</t>
        </is>
      </c>
      <c r="E576" s="2" t="inlineStr">
        <is>
          <t>P1</t>
        </is>
      </c>
      <c r="F576" s="3" t="inlineStr">
        <is>
          <t>现场补充</t>
        </is>
      </c>
      <c r="G576" s="3" t="inlineStr">
        <is>
          <t>设置注册</t>
        </is>
      </c>
      <c r="H576" s="3" t="inlineStr">
        <is>
          <t>设备注册</t>
        </is>
      </c>
      <c r="I576" s="3" t="inlineStr">
        <is>
          <t>可以注册设备</t>
        </is>
      </c>
      <c r="J576" s="5" t="inlineStr">
        <is>
          <t>通过</t>
        </is>
      </c>
      <c r="K576" s="2" t="n"/>
      <c r="L576" s="2" t="inlineStr">
        <is>
          <t>2026-08-18</t>
        </is>
      </c>
      <c r="M576" s="3" t="inlineStr">
        <is>
          <t>现场实测补充用例</t>
        </is>
      </c>
      <c r="N576" s="2" t="inlineStr">
        <is>
          <t>调试 / 点位注册</t>
        </is>
      </c>
    </row>
    <row r="577">
      <c r="A577" s="2" t="n">
        <v>576</v>
      </c>
      <c r="B577" s="2" t="inlineStr">
        <is>
          <t>UI-18.5</t>
        </is>
      </c>
      <c r="C577" s="3" t="inlineStr">
        <is>
          <t>人机菜单(产品级)</t>
        </is>
      </c>
      <c r="D577" s="3" t="inlineStr">
        <is>
          <t>点位注册·右上角返回按钮</t>
        </is>
      </c>
      <c r="E577" s="2" t="inlineStr">
        <is>
          <t>P1</t>
        </is>
      </c>
      <c r="F577" s="3" t="inlineStr">
        <is>
          <t>现场补充</t>
        </is>
      </c>
      <c r="G577" s="3" t="inlineStr">
        <is>
          <t>在点位注册页点击右上角按钮</t>
        </is>
      </c>
      <c r="H577" s="3" t="inlineStr">
        <is>
          <t>右上角应为返回按钮，点击返回上一页</t>
        </is>
      </c>
      <c r="I577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77" s="7" t="inlineStr">
        <is>
          <t>不通过</t>
        </is>
      </c>
      <c r="K577" s="2" t="n"/>
      <c r="L577" s="2" t="inlineStr">
        <is>
          <t>2026-08-18</t>
        </is>
      </c>
      <c r="M577" s="3" t="inlineStr">
        <is>
          <t>全局导航缺陷·亚型A</t>
        </is>
      </c>
      <c r="N577" s="2" t="inlineStr">
        <is>
          <t>调试 / 点位注册</t>
        </is>
      </c>
    </row>
    <row r="578">
      <c r="A578" s="2" t="n">
        <v>577</v>
      </c>
      <c r="B578" s="2" t="inlineStr">
        <is>
          <t>UI-03.4</t>
        </is>
      </c>
      <c r="C578" s="3" t="inlineStr">
        <is>
          <t>人机菜单(产品级)</t>
        </is>
      </c>
      <c r="D578" s="3" t="inlineStr">
        <is>
          <t>设备总览·列表返回按钮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设备总览</t>
        </is>
      </c>
      <c r="H578" s="3" t="inlineStr">
        <is>
          <t>点击列表右上角返回按钮，正常应该能返回到上一页</t>
        </is>
      </c>
      <c r="I578" s="3" t="inlineStr">
        <is>
          <t>点击无响应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现场实测补充用例</t>
        </is>
      </c>
      <c r="N578" s="2" t="inlineStr">
        <is>
          <t>查询 / 设备总览</t>
        </is>
      </c>
    </row>
    <row r="579">
      <c r="A579" s="2" t="n">
        <v>578</v>
      </c>
      <c r="B579" s="2" t="inlineStr">
        <is>
          <t>UI-03.5</t>
        </is>
      </c>
      <c r="C579" s="3" t="inlineStr">
        <is>
          <t>人机菜单(产品级)</t>
        </is>
      </c>
      <c r="D579" s="3" t="inlineStr">
        <is>
          <t>设备总览·可看设备详情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设备总览</t>
        </is>
      </c>
      <c r="H579" s="3" t="inlineStr">
        <is>
          <t>在列表也查看设备详情，能看到设备详情页面</t>
        </is>
      </c>
      <c r="I579" s="4" t="inlineStr">
        <is>
          <t>（未填写原因，需补）</t>
        </is>
      </c>
      <c r="J579" s="5" t="inlineStr">
        <is>
          <t>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设备总览</t>
        </is>
      </c>
    </row>
    <row r="580">
      <c r="A580" s="2" t="n">
        <v>579</v>
      </c>
      <c r="B580" s="2" t="inlineStr">
        <is>
          <t>UI-03.6</t>
        </is>
      </c>
      <c r="C580" s="3" t="inlineStr">
        <is>
          <t>人机菜单(产品级)</t>
        </is>
      </c>
      <c r="D580" s="3" t="inlineStr">
        <is>
          <t>设备总览·详情返回按钮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设备总览</t>
        </is>
      </c>
      <c r="H580" s="3" t="inlineStr">
        <is>
          <t>设备详情页面，右上角应该显示返回按钮，点击右上角返回按钮，正常应该能返回到上一页</t>
        </is>
      </c>
      <c r="I580" s="3" t="inlineStr">
        <is>
          <t>显示的菜单按钮，点击无响应</t>
        </is>
      </c>
      <c r="J580" s="7" t="inlineStr">
        <is>
          <t>不通过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设备总览</t>
        </is>
      </c>
    </row>
    <row r="581">
      <c r="A581" s="2" t="n">
        <v>580</v>
      </c>
      <c r="B581" s="2" t="inlineStr">
        <is>
          <t>UI-05.2</t>
        </is>
      </c>
      <c r="C581" s="3" t="inlineStr">
        <is>
          <t>人机菜单(产品级)</t>
        </is>
      </c>
      <c r="D581" s="3" t="inlineStr">
        <is>
          <t>级联从机·返回按钮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级联从机</t>
        </is>
      </c>
      <c r="H581" s="3" t="inlineStr">
        <is>
          <t>级联从机页面，右上角应该显示返回按钮，点击右上角返回按钮，正常应该能返回到上一页</t>
        </is>
      </c>
      <c r="I581" s="3" t="inlineStr">
        <is>
          <t>显示的菜单按钮，点击到了菜单页</t>
        </is>
      </c>
      <c r="J581" s="7" t="inlineStr">
        <is>
          <t>不通过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级联从机</t>
        </is>
      </c>
    </row>
    <row r="582">
      <c r="A582" s="2" t="n">
        <v>581</v>
      </c>
      <c r="B582" s="2" t="inlineStr">
        <is>
          <t>UI-04.4</t>
        </is>
      </c>
      <c r="C582" s="3" t="inlineStr">
        <is>
          <t>人机菜单(产品级)</t>
        </is>
      </c>
      <c r="D582" s="3" t="inlineStr">
        <is>
          <t>单点查询·正确地址可查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单点查询</t>
        </is>
      </c>
      <c r="H582" s="3" t="inlineStr">
        <is>
          <t>输入正确的设备地址，能查到设备</t>
        </is>
      </c>
      <c r="I582" s="4" t="inlineStr">
        <is>
          <t>（未填写原因，需补）</t>
        </is>
      </c>
      <c r="J582" s="5" t="inlineStr">
        <is>
          <t>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单点查询</t>
        </is>
      </c>
    </row>
    <row r="583">
      <c r="A583" s="2" t="n">
        <v>582</v>
      </c>
      <c r="B583" s="2" t="inlineStr">
        <is>
          <t>UI-04.5</t>
        </is>
      </c>
      <c r="C583" s="3" t="inlineStr">
        <is>
          <t>人机菜单(产品级)</t>
        </is>
      </c>
      <c r="D583" s="3" t="inlineStr">
        <is>
          <t>单点查询·错误地址查不到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单点查询</t>
        </is>
      </c>
      <c r="H583" s="3" t="inlineStr">
        <is>
          <t>输入错误的设备地址，查不到设备</t>
        </is>
      </c>
      <c r="I583" s="4" t="inlineStr">
        <is>
          <t>（未填写原因，需补）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单点查询</t>
        </is>
      </c>
    </row>
    <row r="584">
      <c r="A584" s="15" t="n">
        <v>583</v>
      </c>
      <c r="B584" s="15" t="inlineStr">
        <is>
          <t>FT-04.5</t>
        </is>
      </c>
      <c r="C584" s="15" t="inlineStr">
        <is>
          <t>故障报警</t>
        </is>
      </c>
      <c r="D584" s="15" t="inlineStr">
        <is>
          <t>消音灯·新故障熄灭</t>
        </is>
      </c>
      <c r="E584" s="15" t="inlineStr">
        <is>
          <t>P0</t>
        </is>
      </c>
      <c r="F584" s="15" t="inlineStr">
        <is>
          <t>5.4.3.2/5.3.1.5</t>
        </is>
      </c>
      <c r="G584" s="15" t="inlineStr">
        <is>
          <t>故障①→消音（灯亮）→制造故障②（拔另一部件支线）</t>
        </is>
      </c>
      <c r="H584" s="15" t="inlineStr">
        <is>
          <t>声再启动的同时消音灯熄灭——消音灯指示『当前消音状态』，声音重新启动即状态结束</t>
        </is>
      </c>
      <c r="I584" s="15" t="inlineStr">
        <is>
          <t>新故障输入后消音灯仍亮</t>
        </is>
      </c>
      <c r="J584" s="15" t="inlineStr">
        <is>
          <t>不通过</t>
        </is>
      </c>
      <c r="K584" s="15" t="inlineStr"/>
      <c r="L584" s="15" t="inlineStr">
        <is>
          <t>2026-08-19</t>
        </is>
      </c>
      <c r="M584" s="15" t="inlineStr">
        <is>
          <t>现场实测补充用例；声再启动正常（FT-04.1 通过），仅灯状态机错；疑与 UI-11.5 消音灯常亮同源</t>
        </is>
      </c>
    </row>
    <row r="585">
      <c r="A585" s="15" t="n">
        <v>584</v>
      </c>
      <c r="B585" s="15" t="inlineStr">
        <is>
          <t>FT-01.5</t>
        </is>
      </c>
      <c r="C585" s="15" t="inlineStr">
        <is>
          <t>故障报警</t>
        </is>
      </c>
      <c r="D585" s="15" t="inlineStr">
        <is>
          <t>回路断路</t>
        </is>
      </c>
      <c r="E585" s="15" t="inlineStr">
        <is>
          <t>P0</t>
        </is>
      </c>
      <c r="F585" s="15" t="inlineStr">
        <is>
          <t>5.4.3.3 a)</t>
        </is>
      </c>
      <c r="G585" s="15" t="inlineStr">
        <is>
          <t>拔部件支线</t>
        </is>
      </c>
      <c r="H585" s="15" t="inlineStr">
        <is>
          <t>≤100 s 报障并指示部位</t>
        </is>
      </c>
      <c r="I585" s="15" t="inlineStr"/>
      <c r="J585" s="15" t="inlineStr">
        <is>
          <t>通过</t>
        </is>
      </c>
      <c r="K585" s="15" t="inlineStr"/>
      <c r="L585" s="15" t="inlineStr">
        <is>
          <t>2026-08-19</t>
        </is>
      </c>
      <c r="M585" s="15" t="inlineStr">
        <is>
          <t>继承原 FT-01 整案通过（断路已实测：输入1断路故障）</t>
        </is>
      </c>
    </row>
    <row r="586">
      <c r="A586" s="15" t="n">
        <v>585</v>
      </c>
      <c r="B586" s="15" t="inlineStr">
        <is>
          <t>FT-01.6</t>
        </is>
      </c>
      <c r="C586" s="15" t="inlineStr">
        <is>
          <t>故障报警</t>
        </is>
      </c>
      <c r="D586" s="15" t="inlineStr">
        <is>
          <t>回路短路</t>
        </is>
      </c>
      <c r="E586" s="15" t="inlineStr">
        <is>
          <t>P0</t>
        </is>
      </c>
      <c r="F586" s="15" t="inlineStr">
        <is>
          <t>5.4.3.3 a)</t>
        </is>
      </c>
      <c r="G586" s="15" t="inlineStr">
        <is>
          <t>总线两线短接</t>
        </is>
      </c>
      <c r="H586" s="15" t="inlineStr">
        <is>
          <t>≤100 s 报障（总线制短路应报故障）</t>
        </is>
      </c>
      <c r="I586" s="15" t="inlineStr"/>
      <c r="J586" s="15" t="inlineStr">
        <is>
          <t>待测</t>
        </is>
      </c>
      <c r="K586" s="15" t="inlineStr"/>
      <c r="L586" s="15" t="inlineStr"/>
      <c r="M586" s="15" t="inlineStr"/>
    </row>
    <row r="587">
      <c r="A587" s="15" t="n">
        <v>586</v>
      </c>
      <c r="B587" s="15" t="inlineStr">
        <is>
          <t>FT-01.7</t>
        </is>
      </c>
      <c r="C587" s="15" t="inlineStr">
        <is>
          <t>故障报警</t>
        </is>
      </c>
      <c r="D587" s="15" t="inlineStr">
        <is>
          <t>影响功能的接地</t>
        </is>
      </c>
      <c r="E587" s="15" t="inlineStr">
        <is>
          <t>P0</t>
        </is>
      </c>
      <c r="F587" s="15" t="inlineStr">
        <is>
          <t>5.4.3.3 a)</t>
        </is>
      </c>
      <c r="G587" s="15" t="inlineStr">
        <is>
          <t>回路线直接碰机壳</t>
        </is>
      </c>
      <c r="H587" s="15" t="inlineStr">
        <is>
          <t>≤100 s 报障；火警下仍须显示（尾注例外）</t>
        </is>
      </c>
      <c r="I587" s="15" t="inlineStr"/>
      <c r="J587" s="15" t="inlineStr">
        <is>
          <t>待测</t>
        </is>
      </c>
      <c r="K587" s="15" t="inlineStr"/>
      <c r="L587" s="15" t="inlineStr"/>
      <c r="M587" s="15" t="inlineStr"/>
    </row>
    <row r="588">
      <c r="A588" s="15" t="n">
        <v>587</v>
      </c>
      <c r="B588" s="15" t="inlineStr">
        <is>
          <t>FT-01.8</t>
        </is>
      </c>
      <c r="C588" s="15" t="inlineStr">
        <is>
          <t>故障报警</t>
        </is>
      </c>
      <c r="D588" s="15" t="inlineStr">
        <is>
          <t>探头与底座断路</t>
        </is>
      </c>
      <c r="E588" s="15" t="inlineStr">
        <is>
          <t>P0</t>
        </is>
      </c>
      <c r="F588" s="15" t="inlineStr">
        <is>
          <t>5.4.3.3 a) 尾句</t>
        </is>
      </c>
      <c r="G588" s="15" t="inlineStr">
        <is>
          <t>拧下探头保留底座</t>
        </is>
      </c>
      <c r="H588" s="15" t="inlineStr">
        <is>
          <t>≤100 s 报该部位故障（防拆）</t>
        </is>
      </c>
      <c r="I588" s="15" t="inlineStr"/>
      <c r="J588" s="15" t="inlineStr">
        <is>
          <t>待测</t>
        </is>
      </c>
      <c r="K588" s="15" t="inlineStr"/>
      <c r="L588" s="15" t="inlineStr"/>
      <c r="M588" s="15" t="inlineStr"/>
    </row>
    <row r="589">
      <c r="A589" s="15" t="n">
        <v>588</v>
      </c>
      <c r="B589" s="15" t="inlineStr">
        <is>
          <t>FT-01.9</t>
        </is>
      </c>
      <c r="C589" s="15" t="inlineStr">
        <is>
          <t>故障报警</t>
        </is>
      </c>
      <c r="D589" s="15" t="inlineStr">
        <is>
          <t>手报及传输部件连线故障</t>
        </is>
      </c>
      <c r="E589" s="15" t="inlineStr">
        <is>
          <t>P0</t>
        </is>
      </c>
      <c r="F589" s="15" t="inlineStr">
        <is>
          <t>5.4.3.3 a)</t>
        </is>
      </c>
      <c r="G589" s="15" t="inlineStr">
        <is>
          <t>断/短/接地分别制造</t>
        </is>
      </c>
      <c r="H589" s="15" t="inlineStr">
        <is>
          <t>≤100 s 报障指示部位</t>
        </is>
      </c>
      <c r="I589" s="15" t="inlineStr"/>
      <c r="J589" s="15" t="inlineStr">
        <is>
          <t>通过</t>
        </is>
      </c>
      <c r="K589" s="15" t="inlineStr"/>
      <c r="L589" s="15" t="inlineStr"/>
      <c r="M589" s="15" t="inlineStr">
        <is>
          <t>待条件：需手报</t>
        </is>
      </c>
    </row>
    <row r="590">
      <c r="A590" s="15" t="n">
        <v>589</v>
      </c>
      <c r="B590" s="15" t="inlineStr">
        <is>
          <t>FT-02.3</t>
        </is>
      </c>
      <c r="C590" s="15" t="inlineStr">
        <is>
          <t>故障报警</t>
        </is>
      </c>
      <c r="D590" s="15" t="inlineStr">
        <is>
          <t>火灾显示盘连线故障</t>
        </is>
      </c>
      <c r="E590" s="15" t="inlineStr">
        <is>
          <t>P0</t>
        </is>
      </c>
      <c r="F590" s="15" t="inlineStr">
        <is>
          <t>5.4.3.3 b)</t>
        </is>
      </c>
      <c r="G590" s="15" t="inlineStr">
        <is>
          <t>断/短/接地分别制造</t>
        </is>
      </c>
      <c r="H590" s="15" t="inlineStr">
        <is>
          <t>≤100 s 报障指示部位</t>
        </is>
      </c>
      <c r="I590" s="15" t="inlineStr"/>
      <c r="J590" s="15" t="inlineStr">
        <is>
          <t>待测</t>
        </is>
      </c>
      <c r="K590" s="15" t="inlineStr"/>
      <c r="L590" s="15" t="inlineStr"/>
      <c r="M590" s="15" t="inlineStr">
        <is>
          <t>待条件：需火灾显示盘；可先用注册无硬件法验监督路径</t>
        </is>
      </c>
    </row>
    <row r="591">
      <c r="A591" s="15" t="n">
        <v>590</v>
      </c>
      <c r="B591" s="15" t="inlineStr">
        <is>
          <t>FT-02.4</t>
        </is>
      </c>
      <c r="C591" s="15" t="inlineStr">
        <is>
          <t>故障报警</t>
        </is>
      </c>
      <c r="D591" s="15" t="inlineStr">
        <is>
          <t>传输设备连线故障</t>
        </is>
      </c>
      <c r="E591" s="15" t="inlineStr">
        <is>
          <t>P0</t>
        </is>
      </c>
      <c r="F591" s="15" t="inlineStr">
        <is>
          <t>5.4.3.3 c)</t>
        </is>
      </c>
      <c r="G591" s="15" t="inlineStr">
        <is>
          <t>断/短/接地分别制造</t>
        </is>
      </c>
      <c r="H591" s="15" t="inlineStr">
        <is>
          <t>≤100 s 报障；火警下显示不受影响</t>
        </is>
      </c>
      <c r="I591" s="15" t="inlineStr"/>
      <c r="J591" s="15" t="inlineStr">
        <is>
          <t>待测</t>
        </is>
      </c>
      <c r="K591" s="15" t="inlineStr"/>
      <c r="L591" s="15" t="inlineStr"/>
      <c r="M591" s="15" t="inlineStr">
        <is>
          <t>待条件：需传输装置</t>
        </is>
      </c>
    </row>
    <row r="592">
      <c r="A592" s="15" t="n">
        <v>591</v>
      </c>
      <c r="B592" s="15" t="inlineStr">
        <is>
          <t>FT-02.5</t>
        </is>
      </c>
      <c r="C592" s="15" t="inlineStr">
        <is>
          <t>故障报警</t>
        </is>
      </c>
      <c r="D592" s="15" t="inlineStr">
        <is>
          <t>无线设备通信故障</t>
        </is>
      </c>
      <c r="E592" s="15" t="inlineStr">
        <is>
          <t>P0</t>
        </is>
      </c>
      <c r="F592" s="15" t="inlineStr">
        <is>
          <t>5.4.3.3 e)</t>
        </is>
      </c>
      <c r="G592" s="15" t="inlineStr">
        <is>
          <t>使无线通信中断</t>
        </is>
      </c>
      <c r="H592" s="15" t="inlineStr">
        <is>
          <t>≤100 s 报障；火警下显示不受影响</t>
        </is>
      </c>
      <c r="I592" s="15" t="inlineStr"/>
      <c r="J592" s="15" t="inlineStr">
        <is>
          <t>待测</t>
        </is>
      </c>
      <c r="K592" s="15" t="inlineStr"/>
      <c r="L592" s="15" t="inlineStr">
        <is>
          <t>2026-08-19</t>
        </is>
      </c>
      <c r="M592" s="15" t="inlineStr">
        <is>
          <t>条件适用条款：产品无无线设备</t>
        </is>
      </c>
    </row>
    <row r="593">
      <c r="A593" s="15" t="n">
        <v>592</v>
      </c>
      <c r="B593" s="15" t="inlineStr">
        <is>
          <t>GE-22</t>
        </is>
      </c>
      <c r="C593" s="15" t="inlineStr">
        <is>
          <t>气体灭火控制器</t>
        </is>
      </c>
      <c r="D593" s="15" t="inlineStr">
        <is>
          <t>强启路径·放气勿入指示牌</t>
        </is>
      </c>
      <c r="E593" s="15" t="inlineStr">
        <is>
          <t>P0</t>
        </is>
      </c>
      <c r="F593" s="15" t="inlineStr">
        <is>
          <t>GB16806 4.3.2.2 d)/e)</t>
        </is>
      </c>
      <c r="G593" s="15" t="inlineStr">
        <is>
          <t>强启（紧急启动，跳过延时）→ 启动喷洒；启动及反馈信号有效期间观察现场『放气勿入』指示牌</t>
        </is>
      </c>
      <c r="H593" s="15" t="inlineStr">
        <is>
          <t>喷洒控制信号发出后『放气勿入』指示牌（喷洒光警报器）应点亮，保持至复位</t>
        </is>
      </c>
      <c r="I593" s="15" t="inlineStr">
        <is>
          <t>强启后启动/反馈信号有效时，放气勿入指示牌未亮</t>
        </is>
      </c>
      <c r="J593" s="15" t="inlineStr">
        <is>
          <t>不通过</t>
        </is>
      </c>
      <c r="K593" s="15" t="inlineStr"/>
      <c r="L593" s="15" t="inlineStr">
        <is>
          <t>2026-08-27</t>
        </is>
      </c>
      <c r="M593" s="15" t="inlineStr">
        <is>
          <t>现场实测补充用例；气体灭火控制器模块</t>
        </is>
      </c>
    </row>
  </sheetData>
  <autoFilter ref="A1:M59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592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  <row r="42">
      <c r="A42" s="15" t="inlineStr">
        <is>
          <t>GE-22</t>
        </is>
      </c>
      <c r="B42" s="15" t="inlineStr">
        <is>
          <t>气灭/现场警示</t>
        </is>
      </c>
      <c r="C42" s="15" t="inlineStr">
        <is>
          <t>强启后放气勿入指示牌未亮</t>
        </is>
      </c>
      <c r="D42" s="15" t="inlineStr">
        <is>
          <t>P0</t>
        </is>
      </c>
      <c r="E42" s="15" t="inlineStr">
        <is>
          <t>启动/反馈信号有效时指示牌未点亮</t>
        </is>
      </c>
      <c r="F42" s="15" t="inlineStr">
        <is>
          <t>喷洒光警报器输出链路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COUNTIF(测试执行表!C2:C593,A2)</f>
        <v/>
      </c>
      <c r="C2">
        <f>COUNTIFS(测试执行表!C2:C593,A2,测试执行表!J2:J593,"通过")</f>
        <v/>
      </c>
      <c r="D2">
        <f>COUNTIFS(测试执行表!C2:C593,A2,测试执行表!J2:J593,"不通过")</f>
        <v/>
      </c>
      <c r="E2">
        <f>COUNTIFS(测试执行表!C2:C593,A2,测试执行表!J2:J593,"不适用")</f>
        <v/>
      </c>
      <c r="F2">
        <f>COUNTIFS(测试执行表!C2:C593,A2,测试执行表!J2:J593,"待测")+COUNTIFS(测试执行表!C2:C593,A2,测试执行表!J2:J593,"暂不测试")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COUNTIF(测试执行表!C2:C593,A3)</f>
        <v/>
      </c>
      <c r="C3">
        <f>COUNTIFS(测试执行表!C2:C593,A3,测试执行表!J2:J593,"通过")</f>
        <v/>
      </c>
      <c r="D3">
        <f>COUNTIFS(测试执行表!C2:C593,A3,测试执行表!J2:J593,"不通过")</f>
        <v/>
      </c>
      <c r="E3">
        <f>COUNTIFS(测试执行表!C2:C593,A3,测试执行表!J2:J593,"不适用")</f>
        <v/>
      </c>
      <c r="F3">
        <f>COUNTIFS(测试执行表!C2:C593,A3,测试执行表!J2:J593,"待测")+COUNTIFS(测试执行表!C2:C593,A3,测试执行表!J2:J593,"暂不测试")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COUNTIF(测试执行表!C2:C593,A4)</f>
        <v/>
      </c>
      <c r="C4">
        <f>COUNTIFS(测试执行表!C2:C593,A4,测试执行表!J2:J593,"通过")</f>
        <v/>
      </c>
      <c r="D4">
        <f>COUNTIFS(测试执行表!C2:C593,A4,测试执行表!J2:J593,"不通过")</f>
        <v/>
      </c>
      <c r="E4">
        <f>COUNTIFS(测试执行表!C2:C593,A4,测试执行表!J2:J593,"不适用")</f>
        <v/>
      </c>
      <c r="F4">
        <f>COUNTIFS(测试执行表!C2:C593,A4,测试执行表!J2:J593,"待测")+COUNTIFS(测试执行表!C2:C593,A4,测试执行表!J2:J593,"暂不测试")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COUNTIF(测试执行表!C2:C593,A5)</f>
        <v/>
      </c>
      <c r="C5">
        <f>COUNTIFS(测试执行表!C2:C593,A5,测试执行表!J2:J593,"通过")</f>
        <v/>
      </c>
      <c r="D5">
        <f>COUNTIFS(测试执行表!C2:C593,A5,测试执行表!J2:J593,"不通过")</f>
        <v/>
      </c>
      <c r="E5">
        <f>COUNTIFS(测试执行表!C2:C593,A5,测试执行表!J2:J593,"不适用")</f>
        <v/>
      </c>
      <c r="F5">
        <f>COUNTIFS(测试执行表!C2:C593,A5,测试执行表!J2:J593,"待测")+COUNTIFS(测试执行表!C2:C593,A5,测试执行表!J2:J593,"暂不测试")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COUNTIF(测试执行表!C2:C593,A6)</f>
        <v/>
      </c>
      <c r="C6">
        <f>COUNTIFS(测试执行表!C2:C593,A6,测试执行表!J2:J593,"通过")</f>
        <v/>
      </c>
      <c r="D6">
        <f>COUNTIFS(测试执行表!C2:C593,A6,测试执行表!J2:J593,"不通过")</f>
        <v/>
      </c>
      <c r="E6">
        <f>COUNTIFS(测试执行表!C2:C593,A6,测试执行表!J2:J593,"不适用")</f>
        <v/>
      </c>
      <c r="F6">
        <f>COUNTIFS(测试执行表!C2:C593,A6,测试执行表!J2:J593,"待测")+COUNTIFS(测试执行表!C2:C593,A6,测试执行表!J2:J593,"暂不测试")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COUNTIF(测试执行表!C2:C593,A7)</f>
        <v/>
      </c>
      <c r="C7">
        <f>COUNTIFS(测试执行表!C2:C593,A7,测试执行表!J2:J593,"通过")</f>
        <v/>
      </c>
      <c r="D7">
        <f>COUNTIFS(测试执行表!C2:C593,A7,测试执行表!J2:J593,"不通过")</f>
        <v/>
      </c>
      <c r="E7">
        <f>COUNTIFS(测试执行表!C2:C593,A7,测试执行表!J2:J593,"不适用")</f>
        <v/>
      </c>
      <c r="F7">
        <f>COUNTIFS(测试执行表!C2:C593,A7,测试执行表!J2:J593,"待测")+COUNTIFS(测试执行表!C2:C593,A7,测试执行表!J2:J593,"暂不测试")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COUNTIF(测试执行表!C2:C593,A8)</f>
        <v/>
      </c>
      <c r="C8">
        <f>COUNTIFS(测试执行表!C2:C593,A8,测试执行表!J2:J593,"通过")</f>
        <v/>
      </c>
      <c r="D8">
        <f>COUNTIFS(测试执行表!C2:C593,A8,测试执行表!J2:J593,"不通过")</f>
        <v/>
      </c>
      <c r="E8">
        <f>COUNTIFS(测试执行表!C2:C593,A8,测试执行表!J2:J593,"不适用")</f>
        <v/>
      </c>
      <c r="F8">
        <f>COUNTIFS(测试执行表!C2:C593,A8,测试执行表!J2:J593,"待测")+COUNTIFS(测试执行表!C2:C593,A8,测试执行表!J2:J593,"暂不测试")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COUNTIF(测试执行表!C2:C593,A9)</f>
        <v/>
      </c>
      <c r="C9">
        <f>COUNTIFS(测试执行表!C2:C593,A9,测试执行表!J2:J593,"通过")</f>
        <v/>
      </c>
      <c r="D9">
        <f>COUNTIFS(测试执行表!C2:C593,A9,测试执行表!J2:J593,"不通过")</f>
        <v/>
      </c>
      <c r="E9">
        <f>COUNTIFS(测试执行表!C2:C593,A9,测试执行表!J2:J593,"不适用")</f>
        <v/>
      </c>
      <c r="F9">
        <f>COUNTIFS(测试执行表!C2:C593,A9,测试执行表!J2:J593,"待测")+COUNTIFS(测试执行表!C2:C593,A9,测试执行表!J2:J593,"暂不测试")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COUNTIF(测试执行表!C2:C593,A10)</f>
        <v/>
      </c>
      <c r="C10">
        <f>COUNTIFS(测试执行表!C2:C593,A10,测试执行表!J2:J593,"通过")</f>
        <v/>
      </c>
      <c r="D10">
        <f>COUNTIFS(测试执行表!C2:C593,A10,测试执行表!J2:J593,"不通过")</f>
        <v/>
      </c>
      <c r="E10">
        <f>COUNTIFS(测试执行表!C2:C593,A10,测试执行表!J2:J593,"不适用")</f>
        <v/>
      </c>
      <c r="F10">
        <f>COUNTIFS(测试执行表!C2:C593,A10,测试执行表!J2:J593,"待测")+COUNTIFS(测试执行表!C2:C593,A10,测试执行表!J2:J593,"暂不测试")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COUNTIF(测试执行表!C2:C593,A11)</f>
        <v/>
      </c>
      <c r="C11">
        <f>COUNTIFS(测试执行表!C2:C593,A11,测试执行表!J2:J593,"通过")</f>
        <v/>
      </c>
      <c r="D11">
        <f>COUNTIFS(测试执行表!C2:C593,A11,测试执行表!J2:J593,"不通过")</f>
        <v/>
      </c>
      <c r="E11">
        <f>COUNTIFS(测试执行表!C2:C593,A11,测试执行表!J2:J593,"不适用")</f>
        <v/>
      </c>
      <c r="F11">
        <f>COUNTIFS(测试执行表!C2:C593,A11,测试执行表!J2:J593,"待测")+COUNTIFS(测试执行表!C2:C593,A11,测试执行表!J2:J593,"暂不测试")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COUNTIF(测试执行表!C2:C593,A12)</f>
        <v/>
      </c>
      <c r="C12">
        <f>COUNTIFS(测试执行表!C2:C593,A12,测试执行表!J2:J593,"通过")</f>
        <v/>
      </c>
      <c r="D12">
        <f>COUNTIFS(测试执行表!C2:C593,A12,测试执行表!J2:J593,"不通过")</f>
        <v/>
      </c>
      <c r="E12">
        <f>COUNTIFS(测试执行表!C2:C593,A12,测试执行表!J2:J593,"不适用")</f>
        <v/>
      </c>
      <c r="F12">
        <f>COUNTIFS(测试执行表!C2:C593,A12,测试执行表!J2:J593,"待测")+COUNTIFS(测试执行表!C2:C593,A12,测试执行表!J2:J593,"暂不测试")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COUNTIF(测试执行表!C2:C593,A13)</f>
        <v/>
      </c>
      <c r="C13">
        <f>COUNTIFS(测试执行表!C2:C593,A13,测试执行表!J2:J593,"通过")</f>
        <v/>
      </c>
      <c r="D13">
        <f>COUNTIFS(测试执行表!C2:C593,A13,测试执行表!J2:J593,"不通过")</f>
        <v/>
      </c>
      <c r="E13">
        <f>COUNTIFS(测试执行表!C2:C593,A13,测试执行表!J2:J593,"不适用")</f>
        <v/>
      </c>
      <c r="F13">
        <f>COUNTIFS(测试执行表!C2:C593,A13,测试执行表!J2:J593,"待测")+COUNTIFS(测试执行表!C2:C593,A13,测试执行表!J2:J593,"暂不测试")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COUNTIF(测试执行表!C2:C593,A14)</f>
        <v/>
      </c>
      <c r="C14">
        <f>COUNTIFS(测试执行表!C2:C593,A14,测试执行表!J2:J593,"通过")</f>
        <v/>
      </c>
      <c r="D14">
        <f>COUNTIFS(测试执行表!C2:C593,A14,测试执行表!J2:J593,"不通过")</f>
        <v/>
      </c>
      <c r="E14">
        <f>COUNTIFS(测试执行表!C2:C593,A14,测试执行表!J2:J593,"不适用")</f>
        <v/>
      </c>
      <c r="F14">
        <f>COUNTIFS(测试执行表!C2:C593,A14,测试执行表!J2:J593,"待测")+COUNTIFS(测试执行表!C2:C593,A14,测试执行表!J2:J593,"暂不测试")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COUNTIF(测试执行表!C2:C593,A15)</f>
        <v/>
      </c>
      <c r="C15">
        <f>COUNTIFS(测试执行表!C2:C593,A15,测试执行表!J2:J593,"通过")</f>
        <v/>
      </c>
      <c r="D15">
        <f>COUNTIFS(测试执行表!C2:C593,A15,测试执行表!J2:J593,"不通过")</f>
        <v/>
      </c>
      <c r="E15">
        <f>COUNTIFS(测试执行表!C2:C593,A15,测试执行表!J2:J593,"不适用")</f>
        <v/>
      </c>
      <c r="F15">
        <f>COUNTIFS(测试执行表!C2:C593,A15,测试执行表!J2:J593,"待测")+COUNTIFS(测试执行表!C2:C593,A15,测试执行表!J2:J593,"暂不测试")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COUNTIF(测试执行表!C2:C593,A16)</f>
        <v/>
      </c>
      <c r="C16">
        <f>COUNTIFS(测试执行表!C2:C593,A16,测试执行表!J2:J593,"通过")</f>
        <v/>
      </c>
      <c r="D16">
        <f>COUNTIFS(测试执行表!C2:C593,A16,测试执行表!J2:J593,"不通过")</f>
        <v/>
      </c>
      <c r="E16">
        <f>COUNTIFS(测试执行表!C2:C593,A16,测试执行表!J2:J593,"不适用")</f>
        <v/>
      </c>
      <c r="F16">
        <f>COUNTIFS(测试执行表!C2:C593,A16,测试执行表!J2:J593,"待测")+COUNTIFS(测试执行表!C2:C593,A16,测试执行表!J2:J593,"暂不测试")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COUNTIF(测试执行表!C2:C593,A17)</f>
        <v/>
      </c>
      <c r="C17">
        <f>COUNTIFS(测试执行表!C2:C593,A17,测试执行表!J2:J593,"通过")</f>
        <v/>
      </c>
      <c r="D17">
        <f>COUNTIFS(测试执行表!C2:C593,A17,测试执行表!J2:J593,"不通过")</f>
        <v/>
      </c>
      <c r="E17">
        <f>COUNTIFS(测试执行表!C2:C593,A17,测试执行表!J2:J593,"不适用")</f>
        <v/>
      </c>
      <c r="F17">
        <f>COUNTIFS(测试执行表!C2:C593,A17,测试执行表!J2:J593,"待测")+COUNTIFS(测试执行表!C2:C593,A17,测试执行表!J2:J593,"暂不测试")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COUNTIF(测试执行表!C2:C593,A18)</f>
        <v/>
      </c>
      <c r="C18">
        <f>COUNTIFS(测试执行表!C2:C593,A18,测试执行表!J2:J593,"通过")</f>
        <v/>
      </c>
      <c r="D18">
        <f>COUNTIFS(测试执行表!C2:C593,A18,测试执行表!J2:J593,"不通过")</f>
        <v/>
      </c>
      <c r="E18">
        <f>COUNTIFS(测试执行表!C2:C593,A18,测试执行表!J2:J593,"不适用")</f>
        <v/>
      </c>
      <c r="F18">
        <f>COUNTIFS(测试执行表!C2:C593,A18,测试执行表!J2:J593,"待测")+COUNTIFS(测试执行表!C2:C593,A18,测试执行表!J2:J593,"暂不测试")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SUM(C2:C593)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2026-08-28T09:54:16Z</dcterms:modified>
</cp:coreProperties>
</file>