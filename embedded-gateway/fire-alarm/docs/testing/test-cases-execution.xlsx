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执行表" sheetId="1" state="visible" r:id="rId1"/>
    <sheet name="统计" sheetId="2" state="visible" r:id="rId2"/>
  </sheets>
  <definedNames>
    <definedName name="_xlnm._FilterDatabase" localSheetId="0" hidden="1">'测试执行表'!$A$1:$M$168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14" customWidth="1" min="3" max="3"/>
    <col width="22" customWidth="1" min="4" max="4"/>
    <col width="10" customWidth="1" min="5" max="5"/>
    <col width="16" customWidth="1" min="6" max="6"/>
    <col width="55" customWidth="1" min="7" max="7"/>
    <col width="55" customWidth="1" min="8" max="8"/>
    <col width="30" customWidth="1" min="9" max="9"/>
    <col width="10" customWidth="1" min="10" max="10"/>
    <col width="8" customWidth="1" min="11" max="11"/>
    <col width="11" customWidth="1" min="12" max="12"/>
    <col width="20" customWidth="1" min="13" max="13"/>
  </cols>
  <sheetData>
    <row r="1">
      <c r="A1" s="1" t="inlineStr">
        <is>
          <t>序号</t>
        </is>
      </c>
      <c r="B1" s="1" t="inlineStr">
        <is>
          <t>用例号</t>
        </is>
      </c>
      <c r="C1" s="1" t="inlineStr">
        <is>
          <t>分组</t>
        </is>
      </c>
      <c r="D1" s="1" t="inlineStr">
        <is>
          <t>名称</t>
        </is>
      </c>
      <c r="E1" s="1" t="inlineStr">
        <is>
          <t>级</t>
        </is>
      </c>
      <c r="F1" s="1" t="inlineStr">
        <is>
          <t>依据</t>
        </is>
      </c>
      <c r="G1" s="1" t="inlineStr">
        <is>
          <t>步骤要点</t>
        </is>
      </c>
      <c r="H1" s="1" t="inlineStr">
        <is>
          <t>判定准则(预期)</t>
        </is>
      </c>
      <c r="I1" s="1" t="inlineStr">
        <is>
          <t>测试结果</t>
        </is>
      </c>
      <c r="J1" s="1" t="inlineStr">
        <is>
          <t>是否通过</t>
        </is>
      </c>
      <c r="K1" s="1" t="inlineStr">
        <is>
          <t>测试人</t>
        </is>
      </c>
      <c r="L1" s="1" t="inlineStr">
        <is>
          <t>日期</t>
        </is>
      </c>
      <c r="M1" s="1" t="inlineStr">
        <is>
          <t>备注</t>
        </is>
      </c>
    </row>
    <row r="2">
      <c r="A2" s="2" t="n">
        <v>1</v>
      </c>
      <c r="B2" s="2" t="inlineStr">
        <is>
          <t>FA-01</t>
        </is>
      </c>
      <c r="C2" s="2" t="inlineStr">
        <is>
          <t>火灾报警</t>
        </is>
      </c>
      <c r="D2" s="2" t="inlineStr">
        <is>
          <t>探测器火警响应</t>
        </is>
      </c>
      <c r="E2" s="2" t="inlineStr">
        <is>
          <t>P0</t>
        </is>
      </c>
      <c r="F2" s="2" t="inlineStr">
        <is>
          <t>5.4.1.1/5.4.1.2 ↔ 6.3.2</t>
        </is>
      </c>
      <c r="G2" s="2" t="inlineStr">
        <is>
          <t>标准接线；对探测器加烟使其报警；计时起点＝探测器发出报警信号那一刻（确认灯亮/回路信号跳变），不是加烟那一刻——探测器自身探测时间归 GB 4715，不计入本判据；建议双通道记录仪（探测器报警特征 vs 控制器声光）自动测间隔</t>
        </is>
      </c>
      <c r="H2" s="2" t="inlineStr">
        <is>
          <t>≤10 s 发出火警声、光信号；火警总指示灯点亮；显示并记录部位与时间（年月日时分秒）；保持至手动复位</t>
        </is>
      </c>
      <c r="I2" s="2" t="n"/>
      <c r="J2" s="2" t="n"/>
      <c r="K2" s="2" t="n"/>
      <c r="L2" s="2" t="n"/>
      <c r="M2" s="2" t="n"/>
    </row>
    <row r="3">
      <c r="A3" s="2" t="n">
        <v>2</v>
      </c>
      <c r="B3" s="2" t="inlineStr">
        <is>
          <t>FA-02</t>
        </is>
      </c>
      <c r="C3" s="2" t="inlineStr">
        <is>
          <t>火灾报警</t>
        </is>
      </c>
      <c r="D3" s="2" t="inlineStr">
        <is>
          <t>手报火警响应与类型区分</t>
        </is>
      </c>
      <c r="E3" s="2" t="inlineStr">
        <is>
          <t>P0</t>
        </is>
      </c>
      <c r="F3" s="2" t="inlineStr">
        <is>
          <t>5.4.1.1/5.4.1.4 ↔ 6.3.4</t>
        </is>
      </c>
      <c r="G3" s="2" t="inlineStr">
        <is>
          <t>使一只手动报警按钮动作，计时</t>
        </is>
      </c>
      <c r="H3" s="2" t="inlineStr">
        <is>
          <t>≤10 s 发出火警声、光信号；火警基线要求与 FA-01 完全相同（手报也是火灾报警触发器件，5.4.1.1 全套适用：总灯点亮、显示并记录部位与时间·年月日时分秒、保持至手动复位、黑匣子记录 B.1.1.1 a)）；在此之上追加：明确指示为手报报警（区别于探测器）</t>
        </is>
      </c>
      <c r="I3" s="2" t="n"/>
      <c r="J3" s="2" t="n"/>
      <c r="K3" s="2" t="n"/>
      <c r="L3" s="2" t="n"/>
      <c r="M3" s="2" t="n"/>
    </row>
    <row r="4">
      <c r="A4" s="2" t="n">
        <v>3</v>
      </c>
      <c r="B4" s="2" t="inlineStr">
        <is>
          <t>FA-03</t>
        </is>
      </c>
      <c r="C4" s="2" t="inlineStr">
        <is>
          <t>火灾报警</t>
        </is>
      </c>
      <c r="D4" s="2" t="inlineStr">
        <is>
          <t>手报无延时校验</t>
        </is>
      </c>
      <c r="E4" s="2" t="inlineStr">
        <is>
          <t>P0</t>
        </is>
      </c>
      <c r="F4" s="2" t="inlineStr">
        <is>
          <t>5.4.1.2/5.4.1.4 ↔ 6.3.11</t>
        </is>
      </c>
      <c r="G4" s="2" t="inlineStr">
        <is>
          <t>设置报警延时后触发手报</t>
        </is>
      </c>
      <c r="H4" s="2" t="inlineStr">
        <is>
          <t>手报信号不受报警延时影响，直接 ≤10 s 报警。依据推导（标准无明文"手报禁延时"，由许可式立法省略而来）：5.4.1.2 的延时许可只写给探测器信号；5.4.1.4 给手报的是无条件 10 s、无延时许可——没许可＝禁止；6.3.11 即专查"手报是否被违规配了延时"</t>
        </is>
      </c>
      <c r="I4" s="2" t="n"/>
      <c r="J4" s="2" t="n"/>
      <c r="K4" s="2" t="n"/>
      <c r="L4" s="2" t="n"/>
      <c r="M4" s="2" t="n"/>
    </row>
    <row r="5">
      <c r="A5" s="2" t="n">
        <v>4</v>
      </c>
      <c r="B5" s="2" t="inlineStr">
        <is>
          <t>FA-04</t>
        </is>
      </c>
      <c r="C5" s="2" t="inlineStr">
        <is>
          <t>火灾报警</t>
        </is>
      </c>
      <c r="D5" s="2" t="inlineStr">
        <is>
          <t>报警延时设置与倒计时</t>
        </is>
      </c>
      <c r="E5" s="2" t="inlineStr">
        <is>
          <t>可选</t>
        </is>
      </c>
      <c r="F5" s="2" t="inlineStr">
        <is>
          <t>5.4.1.2 ↔ 6.3.10</t>
        </is>
      </c>
      <c r="G5" s="2" t="inlineStr">
        <is>
          <t>设置探测器报警延时并修改延时值，触发探测器</t>
        </is>
      </c>
      <c r="H5" s="2" t="inlineStr">
        <is>
          <t>最大延时 ≤1 min；延时期间有延时光指示；延时以倒计时显示；设置信息本机可查。〔优先级说明：原文"准许设置"；一阶段规划含延时确认 → 实现则 P1〕</t>
        </is>
      </c>
      <c r="I5" s="2" t="n"/>
      <c r="J5" s="2" t="n"/>
      <c r="K5" s="2" t="n"/>
      <c r="L5" s="2" t="n"/>
      <c r="M5" s="2" t="n"/>
    </row>
    <row r="6">
      <c r="A6" s="2" t="n">
        <v>5</v>
      </c>
      <c r="B6" s="2" t="inlineStr">
        <is>
          <t>FA-05</t>
        </is>
      </c>
      <c r="C6" s="2" t="inlineStr">
        <is>
          <t>火灾报警</t>
        </is>
      </c>
      <c r="D6" s="2" t="inlineStr">
        <is>
          <t>独立供电探测器信息接收</t>
        </is>
      </c>
      <c r="E6" s="2" t="inlineStr">
        <is>
          <t>P1</t>
        </is>
      </c>
      <c r="F6" s="2" t="inlineStr">
        <is>
          <t>5.4.1.3 ↔ 6.3.3</t>
        </is>
      </c>
      <c r="G6" s="2" t="inlineStr">
        <is>
          <t>接入线型感温/吸气式感烟/图像型等非控制器直接供电的探测器（条件适用："能够连接……的试样"才测——说明书不声明支持则整条不适用）。接法须为有数据通道的方式（实现本机总线协议挂回路 / 独立 RS485 等接口）；干接点经输入模块不算本条（只能传一个比特，归普通模块输入）。真实触发手段：吸气式→向采样孔/管路注试验烟；线型感温→对光缆/电缆某段加热（热风枪/热水套管）；图像型→标准试验火</t>
        </is>
      </c>
      <c r="H6" s="2" t="inlineStr">
        <is>
          <t>能接收并显示探测器自己产生的部位与报警时间信息（如光纤感温的"第 X 米"、吸气式的"管路 X 孔 X"）。与 FA-01 不重复：FA-01 的部位/时间由控制器查点表+本机时钟生成；本条是透传显示独立智能探测器自带的信息——两条不同的数据通路</t>
        </is>
      </c>
      <c r="I6" s="2" t="n"/>
      <c r="J6" s="2" t="n"/>
      <c r="K6" s="2" t="n"/>
      <c r="L6" s="2" t="n"/>
      <c r="M6" s="2" t="n"/>
    </row>
    <row r="7">
      <c r="A7" s="2" t="n">
        <v>6</v>
      </c>
      <c r="B7" s="2" t="inlineStr">
        <is>
          <t>FA-06</t>
        </is>
      </c>
      <c r="C7" s="2" t="inlineStr">
        <is>
          <t>火灾报警</t>
        </is>
      </c>
      <c r="D7" s="2" t="inlineStr">
        <is>
          <t>消音与再声响</t>
        </is>
      </c>
      <c r="E7" s="2" t="inlineStr">
        <is>
          <t>P0</t>
        </is>
      </c>
      <c r="F7" s="2" t="inlineStr">
        <is>
          <t>5.4.1.6 ↔ 6.3.5</t>
        </is>
      </c>
      <c r="G7" s="2" t="inlineStr">
        <is>
          <t>火警状态下手动消音；再使另一部位报警</t>
        </is>
      </c>
      <c r="H7" s="2" t="inlineStr">
        <is>
          <t>消音后声信号停止、消音灯亮；新火警输入时声信号重新启动且消音灯熄灭</t>
        </is>
      </c>
      <c r="I7" s="2" t="n"/>
      <c r="J7" s="2" t="n"/>
      <c r="K7" s="2" t="n"/>
      <c r="L7" s="2" t="n"/>
      <c r="M7" s="2" t="n"/>
    </row>
    <row r="8">
      <c r="A8" s="2" t="n">
        <v>7</v>
      </c>
      <c r="B8" s="2" t="inlineStr">
        <is>
          <t>FA-07</t>
        </is>
      </c>
      <c r="C8" s="2" t="inlineStr">
        <is>
          <t>火灾报警</t>
        </is>
      </c>
      <c r="D8" s="2" t="inlineStr">
        <is>
          <t>首火警保持与多火警循环显示</t>
        </is>
      </c>
      <c r="E8" s="2" t="inlineStr">
        <is>
          <t>P0</t>
        </is>
      </c>
      <c r="F8" s="2" t="inlineStr">
        <is>
          <t>5.4.1.7 ↔ 6.3.6/6.3.7</t>
        </is>
      </c>
      <c r="G8" s="2" t="inlineStr">
        <is>
          <t>逐个增加报警部位直至显示区域不能同时显示。报警源数量说明：6.3.1 的 2+2 基线不够用——6.3.7 原文明写"应增加报警部位数"，所需数量＝本机屏幕同屏火警容量 +1 起步（大屏机型可能需数十个部位；溢出判定针对后续报警循环区，首火警行不计入）。实操用回路模拟工装按地址批量制造报警，不必堆真探测器</t>
        </is>
      </c>
      <c r="H8" s="2" t="inlineStr">
        <is>
          <t>显示火警总数；首火警持续显示（专用区或共用显示器顶部）且不参与循环；后续按时间顺序循环显示；手动查询一次只出一条；每个火警的事件记录完整（6.3.7 要求核对记录情况）</t>
        </is>
      </c>
      <c r="I8" s="2" t="n"/>
      <c r="J8" s="2" t="n"/>
      <c r="K8" s="2" t="n"/>
      <c r="L8" s="2" t="n"/>
      <c r="M8" s="2" t="n"/>
    </row>
    <row r="9">
      <c r="A9" s="2" t="n">
        <v>8</v>
      </c>
      <c r="B9" s="2" t="inlineStr">
        <is>
          <t>FA-08</t>
        </is>
      </c>
      <c r="C9" s="2" t="inlineStr">
        <is>
          <t>火灾报警</t>
        </is>
      </c>
      <c r="D9" s="2" t="inlineStr">
        <is>
          <t>同一探测器(区)二次确认</t>
        </is>
      </c>
      <c r="E9" s="2" t="inlineStr">
        <is>
          <t>可选</t>
        </is>
      </c>
      <c r="F9" s="2" t="inlineStr">
        <is>
          <t>5.4.1.8 ↔ 6.3.13</t>
        </is>
      </c>
      <c r="G9" s="2" t="inlineStr">
        <is>
          <t>① 发第一个信号（保持 ≥10 s），60 s 内发后续信号——后续信号按产品配置的确认方式给：同一只探测器再报（复位确认法），或同一探测区内另一只探测器报（同区交叉），两种均合法（条款"(区)"括号即此意）；② 复位后只发第一个信号保持观察 30 min</t>
        </is>
      </c>
      <c r="H9" s="2" t="inlineStr">
        <is>
          <t>① 第一信号→仅提示声+部位指示，不进入火警状态（按 §0.2 火警状态口径逐项核查：总灯不亮、无任何输出、不上报 CRT、不占首火警）；60 s 内收到后续信号→火警行为包整体解锁（总灯/声/记录/输出层/上报同时成立）；② 30 min 内无后续信号→对第一信号自动复位（无人工干预、面板恢复监视态）。〔优先级说明：5.4.1.8 条件条款，默认单信号直报；一阶段规划含"同区域多点交叉" → 实现则 P0）。备注：复位确认机制（控制器反手复位探测器、迫其用新鲜证据重判以制造信号②）不是标准强制——仅在选择实现"同点二次确认"方式时需要；选"同区交叉"方式则无需单点复位。前提依赖：同点确认要求二总线协议具备单点复位命令（协议设计时预留〕</t>
        </is>
      </c>
      <c r="I9" s="2" t="n"/>
      <c r="J9" s="2" t="n"/>
      <c r="K9" s="2" t="n"/>
      <c r="L9" s="2" t="n"/>
      <c r="M9" s="2" t="n"/>
    </row>
    <row r="10">
      <c r="A10" s="2" t="n">
        <v>9</v>
      </c>
      <c r="B10" s="2" t="inlineStr">
        <is>
          <t>FA-09</t>
        </is>
      </c>
      <c r="C10" s="2" t="inlineStr">
        <is>
          <t>火灾报警</t>
        </is>
      </c>
      <c r="D10" s="2" t="inlineStr">
        <is>
          <t>不同部位两只探测器确认</t>
        </is>
      </c>
      <c r="E10" s="2" t="inlineStr">
        <is>
          <t>可选</t>
        </is>
      </c>
      <c r="F10" s="2" t="inlineStr">
        <is>
          <t>5.4.1.9 ↔ 6.3.14</t>
        </is>
      </c>
      <c r="G10" s="2" t="inlineStr">
        <is>
          <t>① 正面：第一只报警后，按生产者规定的后续报警时间使第二只（不同部位）也报警；② 反面：复位后仅使一只报警，保持规定间隔（≥5 min）观察</t>
        </is>
      </c>
      <c r="H10" s="2" t="inlineStr">
        <is>
          <t>① 第一只报警→仅提示声+部位指示，不进入火警状态（按 §0.2 火警状态口径逐项核查）；第二只报警→火警行为包整体解锁；② 间隔（≥5 min）内无后续信号准许对第一信号自动复位。〔优先级说明：5.4.1.9 条件条款 → 实现则 P1〕</t>
        </is>
      </c>
      <c r="I10" s="2" t="n"/>
      <c r="J10" s="2" t="n"/>
      <c r="K10" s="2" t="n"/>
      <c r="L10" s="2" t="n"/>
      <c r="M10" s="2" t="n"/>
    </row>
    <row r="11">
      <c r="A11" s="2" t="n">
        <v>10</v>
      </c>
      <c r="B11" s="2" t="inlineStr">
        <is>
          <t>FA-10</t>
        </is>
      </c>
      <c r="C11" s="2" t="inlineStr">
        <is>
          <t>火灾报警</t>
        </is>
      </c>
      <c r="D11" s="2" t="inlineStr">
        <is>
          <t>手动复位</t>
        </is>
      </c>
      <c r="E11" s="2" t="inlineStr">
        <is>
          <t>P0</t>
        </is>
      </c>
      <c r="F11" s="2" t="inlineStr">
        <is>
          <t>5.4.1.10 ↔ 6.3.8/6.3.9</t>
        </is>
      </c>
      <c r="G11" s="2" t="inlineStr">
        <is>
          <t>① 撤除全部报警源后复位；② 保留一路报警源复位，两段分别计时</t>
        </is>
      </c>
      <c r="H11" s="2" t="inlineStr">
        <is>
          <t>两段接续计时（6.3.8 测法）：第一段·按复位键→≤20 s 完成复位并显示复位完成状态；第二段·从复位完成起→仍存报警 ≤20 s 重新建立（最坏合计～40 s）。另一条合规路径：仍存报警全程保持不消失（复位不清仍在报的源），则第二段免计时</t>
        </is>
      </c>
      <c r="I11" s="2" t="n"/>
      <c r="J11" s="2" t="n"/>
      <c r="K11" s="2" t="n"/>
      <c r="L11" s="2" t="n"/>
      <c r="M11" s="2" t="n"/>
    </row>
    <row r="12">
      <c r="A12" s="2" t="n">
        <v>11</v>
      </c>
      <c r="B12" s="2" t="inlineStr">
        <is>
          <t>FA-11</t>
        </is>
      </c>
      <c r="C12" s="2" t="inlineStr">
        <is>
          <t>火灾报警</t>
        </is>
      </c>
      <c r="D12" s="2" t="inlineStr">
        <is>
          <t>计时精度与记录通道</t>
        </is>
      </c>
      <c r="E12" s="2" t="inlineStr">
        <is>
          <t>P1</t>
        </is>
      </c>
      <c r="F12" s="2" t="inlineStr">
        <is>
          <t>5.4.1.11 ↔ 6.3.2</t>
        </is>
      </c>
      <c r="G12" s="2" t="inlineStr">
        <is>
          <t>连续运行 24 h 比对时钟（24 h 的出处：GB 4717 6.3.2 未写时长，它是"日计时误差"的操作化，流程借用 GB 16806 明文条款"记时 24 h 后记录计时误差"·5.3.1.2.13/5.2.1.2.10）；触发火警后核对各记录通道。摸底捷径：6 s/日 ≈ 69 ppm，频率计直测 RTC 晶振频偏几十秒出结果，69 ppm 内预判通过——摸底用频率法筛，认证按 24 h 直读；频率法只覆盖当前温度点，-10 ℃ 低温试验时 RTC 温漂另算（温补 RTC 的理由）</t>
        </is>
      </c>
      <c r="H12" s="2" t="inlineStr">
        <is>
          <t>日计时误差 ≤6 s；打印记录含年月日时分秒；不允许仅用打印机记录——主档须为电子记录：本机事件记录（显示器可查）+ 运行数据存储单元（黑匣子，附录 B 强制），打印机与 CRT 上传只是副本；打印失败不得影响电子记录完整性</t>
        </is>
      </c>
      <c r="I12" s="2" t="n"/>
      <c r="J12" s="2" t="n"/>
      <c r="K12" s="2" t="n"/>
      <c r="L12" s="2" t="n"/>
      <c r="M12" s="2" t="n"/>
    </row>
    <row r="13">
      <c r="A13" s="2" t="n">
        <v>12</v>
      </c>
      <c r="B13" s="2" t="inlineStr">
        <is>
          <t>FA-12</t>
        </is>
      </c>
      <c r="C13" s="2" t="inlineStr">
        <is>
          <t>火灾报警</t>
        </is>
      </c>
      <c r="D13" s="2" t="inlineStr">
        <is>
          <t>阈值设定可查</t>
        </is>
      </c>
      <c r="E13" s="2" t="inlineStr">
        <is>
          <t>可选</t>
        </is>
      </c>
      <c r="F13" s="2" t="inlineStr">
        <is>
          <t>5.4.1.12 ↔ 6.3.12</t>
        </is>
      </c>
      <c r="G13" s="2" t="inlineStr">
        <is>
          <t>测法五步：① 接入支持阈值/灵敏度调节的探测器（需探测器配合，通常为高/中/低灵敏度档）；② Ⅲ 级权限进设置，选定某部位，修改其响应阈值档并确认下发（探测器应答）；③ 退出设置功能回正常监视态；④ 用普通查询菜单查该部位当前设定值；⑤ 断电重启后复查设定值保持</t>
        </is>
      </c>
      <c r="H13" s="2" t="inlineStr">
        <is>
          <t>查得到、值为新设定值、且在设置界面之外可查（不许只在设置界面里可见）；更改事件进黑匣子（数据更改记录）；建议实现为实时回读探测器核对而非仅显示点表副本（防"显示的值≠探测器实际生效值"）。〔优先级说明：5.4.1.12/6.3.12 均为"具有……功能的试样"条件句 → 实现则 P1〕</t>
        </is>
      </c>
      <c r="I13" s="2" t="n"/>
      <c r="J13" s="2" t="n"/>
      <c r="K13" s="2" t="n"/>
      <c r="L13" s="2" t="n"/>
      <c r="M13" s="2" t="n"/>
    </row>
    <row r="14">
      <c r="A14" s="2" t="n">
        <v>13</v>
      </c>
      <c r="B14" s="2" t="inlineStr">
        <is>
          <t>FA-13</t>
        </is>
      </c>
      <c r="C14" s="2" t="inlineStr">
        <is>
          <t>火灾报警</t>
        </is>
      </c>
      <c r="D14" s="2" t="inlineStr">
        <is>
          <t>报警功能不可被阻断</t>
        </is>
      </c>
      <c r="E14" s="2" t="inlineStr">
        <is>
          <t>P0</t>
        </is>
      </c>
      <c r="F14" s="2" t="inlineStr">
        <is>
          <t>5.4.1.13</t>
        </is>
      </c>
      <c r="G14" s="2" t="inlineStr">
        <is>
          <t>各类操作过程中触发火警</t>
        </is>
      </c>
      <c r="H14" s="2" t="inlineStr">
        <is>
          <t>除屏蔽和复位外，任何操作不影响火警接收与发出</t>
        </is>
      </c>
      <c r="I14" s="2" t="n"/>
      <c r="J14" s="2" t="n"/>
      <c r="K14" s="2" t="n"/>
      <c r="L14" s="2" t="n"/>
      <c r="M14" s="2" t="n"/>
    </row>
    <row r="15">
      <c r="A15" s="2" t="n">
        <v>14</v>
      </c>
      <c r="B15" s="2" t="inlineStr">
        <is>
          <t>LC-01</t>
        </is>
      </c>
      <c r="C15" s="2" t="inlineStr">
        <is>
          <t>报警控制(联动输出)</t>
        </is>
      </c>
      <c r="D15" s="2" t="inlineStr">
        <is>
          <t>警报器控制输出</t>
        </is>
      </c>
      <c r="E15" s="2" t="inlineStr">
        <is>
          <t>P0</t>
        </is>
      </c>
      <c r="F15" s="2" t="inlineStr">
        <is>
          <t>5.4.2.1 ↔ 6.4.1</t>
        </is>
      </c>
      <c r="G15" s="2" t="inlineStr">
        <is>
          <t>使控制器进入火警状态：对任一探测器加烟（或按下手报）使其发出报警信号，等待控制器宣布火警——确认火警行为包成立（按 §0.2 口径：火警总灯红色常亮 + 火警声 + 部位显示记录，即"已进入火警状态"的操作化判据）；随后测量警报器输出端子</t>
        </is>
      </c>
      <c r="H15" s="2" t="inlineStr">
        <is>
          <t>火警状态成立后，火灾声和/或光警报器控制输出必须出现：有源输出＝端子上出现 24 V 输出电压（万用表测），无源输出＝干接点闭合（通断表测）。本条只验"输出存在性"，启动时限 ≤3 s 归 LC-02</t>
        </is>
      </c>
      <c r="I15" s="2" t="n"/>
      <c r="J15" s="2" t="n"/>
      <c r="K15" s="2" t="n"/>
      <c r="L15" s="2" t="n"/>
      <c r="M15" s="2" t="n"/>
    </row>
    <row r="16">
      <c r="A16" s="2" t="n">
        <v>15</v>
      </c>
      <c r="B16" s="2" t="inlineStr">
        <is>
          <t>LC-02</t>
        </is>
      </c>
      <c r="C16" s="2" t="inlineStr">
        <is>
          <t>报警控制(联动输出)</t>
        </is>
      </c>
      <c r="D16" s="2" t="inlineStr">
        <is>
          <t>控制输出启动时延</t>
        </is>
      </c>
      <c r="E16" s="2" t="inlineStr">
        <is>
          <t>P0</t>
        </is>
      </c>
      <c r="F16" s="2" t="inlineStr">
        <is>
          <t>5.4.2.6 ↔ 6.4.6</t>
        </is>
      </c>
      <c r="G16" s="2" t="inlineStr">
        <is>
          <t>三分支各测：① 自动+无延时（主判据）：触发火警，计时——起点＝触发器件信号到达控制器（与 FA-01 同源；注意 3 s 比宣布火警的 10 s 更严，实际两者都在 1 s 内完成，两表同起点分别掐）；② 配延时的输出：确认 3 s 不适用（原文括号豁免），延时期间不输出；③ 手动状态：确认 3 s 不适用（输出挂"请求"），操作联动启动/直控启动键放行</t>
        </is>
      </c>
      <c r="H16" s="2" t="inlineStr">
        <is>
          <t>① ≤3 s 启动相关控制输出；② 延时期间输出不动，延时到期→启动（到期至输出的间隔按 ≤3 s 同口径记录——标准未单独给数，自加口径；延时行为本身归 LC-09）；③ 按键→输出应即时无明显迟滞（标准未给数值，按 ≤3 s 同口径记录，自加口径）</t>
        </is>
      </c>
      <c r="I16" s="2" t="n"/>
      <c r="J16" s="2" t="n"/>
      <c r="K16" s="2" t="n"/>
      <c r="L16" s="2" t="n"/>
      <c r="M16" s="2" t="n"/>
    </row>
    <row r="17">
      <c r="A17" s="2" t="n">
        <v>16</v>
      </c>
      <c r="B17" s="2" t="inlineStr">
        <is>
          <t>LC-03</t>
        </is>
      </c>
      <c r="C17" s="2" t="inlineStr">
        <is>
          <t>报警控制(联动输出)</t>
        </is>
      </c>
      <c r="D17" s="2" t="inlineStr">
        <is>
          <t>手动/自动转换</t>
        </is>
      </c>
      <c r="E17" s="2" t="inlineStr">
        <is>
          <t>P0</t>
        </is>
      </c>
      <c r="F17" s="2" t="inlineStr">
        <is>
          <t>5.4.2.2 ↔ 6.4.1</t>
        </is>
      </c>
      <c r="G17" s="2" t="inlineStr">
        <is>
          <t>用钥匙开关切换手/自动，各状态下触发输出逻辑</t>
        </is>
      </c>
      <c r="H17" s="2" t="inlineStr">
        <is>
          <t>转换采用自复位钥匙开关；有手/自动状态指示灯。手动状态下被拦的只有一类：满足联动逻辑的自动控制输出（警报器/联动设备驱动信号）——不丢弃而是挂成"请求"（直控启动键闪亮，5.4.2.5 c)），等人经联动启动按钮或直控启动键放行；照常发生：火警判定/声光/总灯/显示记录（报警层与手自动无关）、故障与监管报警、CRT 上传、反馈接收</t>
        </is>
      </c>
      <c r="I17" s="2" t="n"/>
      <c r="J17" s="2" t="n"/>
      <c r="K17" s="2" t="n"/>
      <c r="L17" s="2" t="n"/>
      <c r="M17" s="2" t="n"/>
    </row>
    <row r="18">
      <c r="A18" s="2" t="n">
        <v>17</v>
      </c>
      <c r="B18" s="2" t="inlineStr">
        <is>
          <t>LC-04</t>
        </is>
      </c>
      <c r="C18" s="2" t="inlineStr">
        <is>
          <t>报警控制(联动输出)</t>
        </is>
      </c>
      <c r="D18" s="2" t="inlineStr">
        <is>
          <t>联动启动控制按钮</t>
        </is>
      </c>
      <c r="E18" s="2" t="inlineStr">
        <is>
          <t>P1</t>
        </is>
      </c>
      <c r="F18" s="2" t="inlineStr">
        <is>
          <t>5.4.2.4 ↔ 6.4.3</t>
        </is>
      </c>
      <c r="G18" s="2" t="inlineStr">
        <is>
          <t>检查按钮形态；手动状态下操作</t>
        </is>
      </c>
      <c r="H18" s="2" t="inlineStr">
        <is>
          <t>圆形红色、直径 ≥12 mm、有防误操作措施且不得用密码保护；仅按已接收火警信号启动满足设定逻辑的联动控制信号</t>
        </is>
      </c>
      <c r="I18" s="2" t="n"/>
      <c r="J18" s="2" t="n"/>
      <c r="K18" s="2" t="n"/>
      <c r="L18" s="2" t="n"/>
      <c r="M18" s="2" t="n"/>
    </row>
    <row r="19">
      <c r="A19" s="2" t="n">
        <v>18</v>
      </c>
      <c r="B19" s="2" t="inlineStr">
        <is>
          <t>LC-05</t>
        </is>
      </c>
      <c r="C19" s="2" t="inlineStr">
        <is>
          <t>报警控制(联动输出)</t>
        </is>
      </c>
      <c r="D19" s="2" t="inlineStr">
        <is>
          <t>信息确认按钮</t>
        </is>
      </c>
      <c r="E19" s="2" t="inlineStr">
        <is>
          <t>P1</t>
        </is>
      </c>
      <c r="F19" s="2" t="inlineStr">
        <is>
          <t>5.4.2.3 ↔ 6.4.2</t>
        </is>
      </c>
      <c r="G19" s="2" t="inlineStr">
        <is>
          <t>制造多条火警与故障信息，逐条确认</t>
        </is>
      </c>
      <c r="H19" s="2" t="inlineStr">
        <is>
          <t>独立按钮；可逐条确认并对已确认信息做标识</t>
        </is>
      </c>
      <c r="I19" s="2" t="n"/>
      <c r="J19" s="2" t="n"/>
      <c r="K19" s="2" t="n"/>
      <c r="L19" s="2" t="n"/>
      <c r="M19" s="2" t="n"/>
    </row>
    <row r="20">
      <c r="A20" s="2" t="n">
        <v>19</v>
      </c>
      <c r="B20" s="2" t="inlineStr">
        <is>
          <t>LC-06</t>
        </is>
      </c>
      <c r="C20" s="2" t="inlineStr">
        <is>
          <t>报警控制(联动输出)</t>
        </is>
      </c>
      <c r="D20" s="2" t="inlineStr">
        <is>
          <t>直接控制输出与指示灯逻辑</t>
        </is>
      </c>
      <c r="E20" s="2" t="inlineStr">
        <is>
          <t>P1</t>
        </is>
      </c>
      <c r="F20" s="2" t="inlineStr">
        <is>
          <t>5.4.2.5 ↔ 6.4.4</t>
        </is>
      </c>
      <c r="G20" s="2" t="inlineStr">
        <is>
          <t>手动、自动两种状态各验证一遍（6.4.4 a/e）：逐组操作控制开关：请求→启动→反馈→停止；使受控设备分别发故障和反馈信号（6.4.4 c)）；启停键同按不释放；测输出电压/电流/容量</t>
        </is>
      </c>
      <c r="H20" s="2" t="inlineStr">
        <is>
          <t>点数判据随产品形态定（见 §17）：无联动功能形态＝≥2 点且 ≤5 点（5 点上限是产品类别边界：超过即属联动控制器须按 GB 16806 认证）；带联动功能形态＝按 GB 16806 4.2.2.8 ≥6 组。每组带灯启动键+带灯停止键+启动/反馈灯+故障灯，按键 ≥12 mm、间隔 ≥10 mm；指示灯逻辑：启动键闪亮=请求、常亮=已启动；启动/反馈灯闪亮=输出启动、常亮=收到反馈；受控设备故障→输出故障灯常亮；自动状态下满足逻辑的输出应能启动且灯逻辑相同；启停键同时按下不启动输出；受控设备状态同步上显示器；有源/无源输出满足规定</t>
        </is>
      </c>
      <c r="I20" s="2" t="n"/>
      <c r="J20" s="2" t="n"/>
      <c r="K20" s="2" t="n"/>
      <c r="L20" s="2" t="n"/>
      <c r="M20" s="2" t="n"/>
    </row>
    <row r="21">
      <c r="A21" s="2" t="n">
        <v>20</v>
      </c>
      <c r="B21" s="2" t="inlineStr">
        <is>
          <t>LC-07</t>
        </is>
      </c>
      <c r="C21" s="2" t="inlineStr">
        <is>
          <t>报警控制(联动输出)</t>
        </is>
      </c>
      <c r="D21" s="2" t="inlineStr">
        <is>
          <t>MCU 失效直控保持</t>
        </is>
      </c>
      <c r="E21" s="2" t="inlineStr">
        <is>
          <t>P1</t>
        </is>
      </c>
      <c r="F21" s="2" t="inlineStr">
        <is>
          <t>5.4.2.5 f) ↔ 6.4.4</t>
        </is>
      </c>
      <c r="G21" s="2" t="inlineStr">
        <is>
          <t>操作模拟 MCU 失效装置后操作直控按键</t>
        </is>
      </c>
      <c r="H21" s="2" t="inlineStr">
        <is>
          <t>MCU 不能正常工作时指示灯和控制输出仍正常</t>
        </is>
      </c>
      <c r="I21" s="2" t="n"/>
      <c r="J21" s="2" t="n"/>
      <c r="K21" s="2" t="n"/>
      <c r="L21" s="2" t="n"/>
      <c r="M21" s="2" t="n"/>
    </row>
    <row r="22">
      <c r="A22" s="2" t="n">
        <v>21</v>
      </c>
      <c r="B22" s="2" t="inlineStr">
        <is>
          <t>LC-08</t>
        </is>
      </c>
      <c r="C22" s="2" t="inlineStr">
        <is>
          <t>报警控制(联动输出)</t>
        </is>
      </c>
      <c r="D22" s="2" t="inlineStr">
        <is>
          <t>联动信号声光与反馈</t>
        </is>
      </c>
      <c r="E22" s="2" t="inlineStr">
        <is>
          <t>P0</t>
        </is>
      </c>
      <c r="F22" s="2" t="inlineStr">
        <is>
          <t>5.4.2.9 ↔ 6.4.8</t>
        </is>
      </c>
      <c r="G22" s="2" t="inlineStr">
        <is>
          <t>发出联动控制信号；给反馈；撤销反馈</t>
        </is>
      </c>
      <c r="H22" s="2" t="inlineStr">
        <is>
          <t>发出联动信号时有声光指示，光信号不被覆盖、保持至手动恢复；收到反馈 ≤10 s 发出声光并保持至联动设备恢复</t>
        </is>
      </c>
      <c r="I22" s="2" t="n"/>
      <c r="J22" s="2" t="n"/>
      <c r="K22" s="2" t="n"/>
      <c r="L22" s="2" t="n"/>
      <c r="M22" s="2" t="n"/>
    </row>
    <row r="23">
      <c r="A23" s="2" t="n">
        <v>22</v>
      </c>
      <c r="B23" s="2" t="inlineStr">
        <is>
          <t>LC-09</t>
        </is>
      </c>
      <c r="C23" s="2" t="inlineStr">
        <is>
          <t>报警控制(联动输出)</t>
        </is>
      </c>
      <c r="D23" s="2" t="inlineStr">
        <is>
          <t>控制输出延时</t>
        </is>
      </c>
      <c r="E23" s="2" t="inlineStr">
        <is>
          <t>P1</t>
        </is>
      </c>
      <c r="F23" s="2" t="inlineStr">
        <is>
          <t>5.4.2.10 ↔ 6.4.9</t>
        </is>
      </c>
      <c r="G23" s="2" t="inlineStr">
        <is>
          <t>设延时→触发→延时期间手动插入/手报直接启动→观察其他输出</t>
        </is>
      </c>
      <c r="H23" s="2" t="inlineStr">
        <is>
          <t>延时 ≤10 min、变化步长 ≤1 min；延时期间有延时光指示；准许手动插入或手报直启；任一延时不影响其他输出</t>
        </is>
      </c>
      <c r="I23" s="2" t="n"/>
      <c r="J23" s="2" t="n"/>
      <c r="K23" s="2" t="n"/>
      <c r="L23" s="2" t="n"/>
      <c r="M23" s="2" t="n"/>
    </row>
    <row r="24">
      <c r="A24" s="2" t="n">
        <v>23</v>
      </c>
      <c r="B24" s="2" t="inlineStr">
        <is>
          <t>LC-10</t>
        </is>
      </c>
      <c r="C24" s="2" t="inlineStr">
        <is>
          <t>报警控制(联动输出)</t>
        </is>
      </c>
      <c r="D24" s="2" t="inlineStr">
        <is>
          <t>多信号确认输出</t>
        </is>
      </c>
      <c r="E24" s="2" t="inlineStr">
        <is>
          <t>可选</t>
        </is>
      </c>
      <c r="F24" s="2" t="inlineStr">
        <is>
          <t>5.4.2.11 ↔ 6.4.10</t>
        </is>
      </c>
      <c r="G24" s="2" t="inlineStr">
        <is>
          <t>配置需多个火警信号才输出的逻辑，只给第一个信号</t>
        </is>
      </c>
      <c r="H24" s="2" t="inlineStr">
        <is>
          <t>收到第一个信号即进入火警状态——按 §0.2 口径火警行为包①②③⑤须完整成立（总灯亮、火警声、记录上报），唯独输出不启动；后续信号到齐才启动输出。与 FA-08 的预确认态相反：那边整包不开，这边只扣输出一项。〔优先级说明：5.4.2.11 条件条款"当……时"，不配置多信号输出确认则不适用 → 实现则 P1〕</t>
        </is>
      </c>
      <c r="I24" s="2" t="n"/>
      <c r="J24" s="2" t="n"/>
      <c r="K24" s="2" t="n"/>
      <c r="L24" s="2" t="n"/>
      <c r="M24" s="2" t="n"/>
    </row>
    <row r="25">
      <c r="A25" s="2" t="n">
        <v>24</v>
      </c>
      <c r="B25" s="2" t="inlineStr">
        <is>
          <t>LC-11</t>
        </is>
      </c>
      <c r="C25" s="2" t="inlineStr">
        <is>
          <t>报警控制(联动输出)</t>
        </is>
      </c>
      <c r="D25" s="2" t="inlineStr">
        <is>
          <t>警报器控制按钮</t>
        </is>
      </c>
      <c r="E25" s="2" t="inlineStr">
        <is>
          <t>P1</t>
        </is>
      </c>
      <c r="F25" s="2" t="inlineStr">
        <is>
          <t>5.4.2.7 ↔ 6.4.7</t>
        </is>
      </c>
      <c r="G25" s="2" t="inlineStr">
        <is>
          <t>① 手动消除、再手动启动火灾声光警报器；② 消音后使相应探测器发出新火警，记录声警报启动情况（6.4.7 后半）</t>
        </is>
      </c>
      <c r="H25" s="2" t="inlineStr">
        <is>
          <t>独立按钮+启动状态指示灯；可手动消除和启动并指示状态；消音后新火警输入 → 声警报信号重新启动（警报器侧的"消音再响"，与本机蜂鸣器 FA-06 同构）</t>
        </is>
      </c>
      <c r="I25" s="2" t="n"/>
      <c r="J25" s="2" t="n"/>
      <c r="K25" s="2" t="n"/>
      <c r="L25" s="2" t="n"/>
      <c r="M25" s="2" t="n"/>
    </row>
    <row r="26">
      <c r="A26" s="2" t="n">
        <v>25</v>
      </c>
      <c r="B26" s="2" t="inlineStr">
        <is>
          <t>LC-12</t>
        </is>
      </c>
      <c r="C26" s="2" t="inlineStr">
        <is>
          <t>报警控制(联动输出)</t>
        </is>
      </c>
      <c r="D26" s="2" t="inlineStr">
        <is>
          <t>火灾报警信息传输功能（功能级，暂不展开）</t>
        </is>
      </c>
      <c r="E26" s="2" t="inlineStr">
        <is>
          <t>P1（待细化）</t>
        </is>
      </c>
      <c r="F26" s="2" t="inlineStr">
        <is>
          <t>5.4.2.8 ↔ 6.4.6</t>
        </is>
      </c>
      <c r="G26" s="2" t="inlineStr">
        <is>
          <t>占位条目：仅适用于具有传输火警信息功能的机型。功能要求：设独立的发送信息、接收信息两个指示灯；灯语言为"闪亮＝进行中、常亮＝已完成、保持至复位"。待传输功能方案（是否做、走哪个通道）确定后再细化具体用例</t>
        </is>
      </c>
      <c r="H26" s="2" t="inlineStr">
        <is>
          <t>功能存在时须满足 5.4.2.8 全部灯态要求；细化时至少覆盖：发送闪→常亮、接收闪→常亮、复位熄灭、对端不回确认时接收灯不亮（反面场景）</t>
        </is>
      </c>
      <c r="I26" s="2" t="n"/>
      <c r="J26" s="2" t="n"/>
      <c r="K26" s="2" t="n"/>
      <c r="L26" s="2" t="n"/>
      <c r="M26" s="2" t="n"/>
    </row>
    <row r="27">
      <c r="A27" s="2" t="n">
        <v>26</v>
      </c>
      <c r="B27" s="2" t="inlineStr">
        <is>
          <t>LC-13</t>
        </is>
      </c>
      <c r="C27" s="2" t="inlineStr">
        <is>
          <t>报警控制(联动输出)</t>
        </is>
      </c>
      <c r="D27" s="2" t="inlineStr">
        <is>
          <t>联动信息下发</t>
        </is>
      </c>
      <c r="E27" s="2" t="inlineStr">
        <is>
          <t>P1</t>
        </is>
      </c>
      <c r="F27" s="2" t="inlineStr">
        <is>
          <t>5.4.2.14 ↔ 6.4.12</t>
        </is>
      </c>
      <c r="G27" s="2" t="inlineStr">
        <is>
          <t>（具联动控制功能时）触发火警</t>
        </is>
      </c>
      <c r="H27" s="2" t="inlineStr">
        <is>
          <t>指示火灾部位和时间，并将火警部位信息发送给消防电气控制装置</t>
        </is>
      </c>
      <c r="I27" s="2" t="n"/>
      <c r="J27" s="2" t="n"/>
      <c r="K27" s="2" t="n"/>
      <c r="L27" s="2" t="n"/>
      <c r="M27" s="2" t="n"/>
    </row>
    <row r="28">
      <c r="A28" s="2" t="n">
        <v>27</v>
      </c>
      <c r="B28" s="2" t="inlineStr">
        <is>
          <t>LC-14</t>
        </is>
      </c>
      <c r="C28" s="2" t="inlineStr">
        <is>
          <t>报警控制(联动输出)</t>
        </is>
      </c>
      <c r="D28" s="2" t="inlineStr">
        <is>
          <t>输出禁止/隔离手段</t>
        </is>
      </c>
      <c r="E28" s="2" t="inlineStr">
        <is>
          <t>可选</t>
        </is>
      </c>
      <c r="F28" s="2" t="inlineStr">
        <is>
          <t>5.4.2.11</t>
        </is>
      </c>
      <c r="G28" s="2" t="inlineStr">
        <is>
          <t>可选功能（标准措辞"准许设有"，可做可不做）。不实现则本条不适用、完全合规；若实现（建议做成菜单"输出隔离"，方便调试期）须测：① 可分别禁止警报器/传输设备/联动设备三类输出；② 禁止某一类不影响其他类输出；③ 禁止状态可见（建议并入屏蔽类显示）且不被复位清除；④ 操作受级别控制（建议 Ⅱ 级）</t>
        </is>
      </c>
      <c r="H28" s="2" t="inlineStr">
        <is>
          <t>三类禁止相互独立；禁止期间火警报警与显示功能照常。〔优先级说明：实现则 P1〕</t>
        </is>
      </c>
      <c r="I28" s="2" t="n"/>
      <c r="J28" s="2" t="n"/>
      <c r="K28" s="2" t="n"/>
      <c r="L28" s="2" t="n"/>
      <c r="M28" s="2" t="n"/>
    </row>
    <row r="29">
      <c r="A29" s="2" t="n">
        <v>28</v>
      </c>
      <c r="B29" s="2" t="inlineStr">
        <is>
          <t>FT-01</t>
        </is>
      </c>
      <c r="C29" s="2" t="inlineStr">
        <is>
          <t>故障报警</t>
        </is>
      </c>
      <c r="D29" s="2" t="inlineStr">
        <is>
          <t>回路断路/短路/接地/探头拔出</t>
        </is>
      </c>
      <c r="E29" s="2" t="inlineStr">
        <is>
          <t>P0</t>
        </is>
      </c>
      <c r="F29" s="2" t="inlineStr">
        <is>
          <t>5.4.3.2/5.4.3.3 a)/5.4.3.10</t>
        </is>
      </c>
      <c r="G29" s="2" t="inlineStr">
        <is>
          <t>分别制造回路断路、短路、影响功能的接地；另拧下一只探头（保留底座）——"探头与底座间连接断路"即防拆检测（5.4.3.3 a) 尾句，防探头被偷/清洁后忘装回）；计时起点＝故障物理发生那一刻（决定巡检周期×确认轮数的预算）</t>
        </is>
      </c>
      <c r="H29" s="2" t="inlineStr">
        <is>
          <t>≤100 s 发出与火警有明显区别的故障声光；故障总指示灯亮；指示部位；记录含年月日时分秒且不得仅用打印机记录。短路例外分支：若短路在本系统电气特征上产生火灾报警信号，按火警处理不算故障（5.4.3.3 a) 括号，宁误报火警不漏报）——编址二总线系统短路走隔离器路径，见 FT-09</t>
        </is>
      </c>
      <c r="I29" s="2" t="n"/>
      <c r="J29" s="2" t="n"/>
      <c r="K29" s="2" t="n"/>
      <c r="L29" s="2" t="n"/>
      <c r="M29" s="2" t="n"/>
    </row>
    <row r="30">
      <c r="A30" s="2" t="n">
        <v>29</v>
      </c>
      <c r="B30" s="2" t="inlineStr">
        <is>
          <t>FT-02</t>
        </is>
      </c>
      <c r="C30" s="2" t="inlineStr">
        <is>
          <t>故障报警</t>
        </is>
      </c>
      <c r="D30" s="2" t="inlineStr">
        <is>
          <t>外控设备连线故障</t>
        </is>
      </c>
      <c r="E30" s="2" t="inlineStr">
        <is>
          <t>P0</t>
        </is>
      </c>
      <c r="F30" s="2" t="inlineStr">
        <is>
          <t>5.4.3.3 b)/c)/e) ↔ 6.5.5</t>
        </is>
      </c>
      <c r="G30" s="2" t="inlineStr">
        <is>
          <t>分别制造与火灾显示盘、警报器、传输设备、联动设备间连线断/短/接地及无线设备通信故障（拓扑与手法见 §3.1 附图）；c)/e) 故障存在时使另一部位报火警</t>
        </is>
      </c>
      <c r="H30" s="2" t="inlineStr">
        <is>
          <t>≤100 s 报障并指示部位；c)/e) 类故障显示不受火警信号影响。条件项：b) 火灾显示盘（层显，GB 17429 楼层复示器）如不配套则不适用；e) 仅具无线功能机型</t>
        </is>
      </c>
      <c r="I30" s="2" t="n"/>
      <c r="J30" s="2" t="n"/>
      <c r="K30" s="2" t="n"/>
      <c r="L30" s="2" t="n"/>
      <c r="M30" s="2" t="n"/>
    </row>
    <row r="31">
      <c r="A31" s="2" t="n">
        <v>30</v>
      </c>
      <c r="B31" s="2" t="inlineStr">
        <is>
          <t>FT-03</t>
        </is>
      </c>
      <c r="C31" s="2" t="inlineStr">
        <is>
          <t>故障报警</t>
        </is>
      </c>
      <c r="D31" s="2" t="inlineStr">
        <is>
          <t>电源类故障类型显示</t>
        </is>
      </c>
      <c r="E31" s="2" t="inlineStr">
        <is>
          <t>P0</t>
        </is>
      </c>
      <c r="F31" s="2" t="inlineStr">
        <is>
          <t>5.4.3.4</t>
        </is>
      </c>
      <c r="G31" s="2" t="inlineStr">
        <is>
          <t>分别制造：充电器-备电断/短路、备电-负载断路、主电欠压、电池故障、存储单元不能保存数据</t>
        </is>
      </c>
      <c r="H31" s="2" t="inlineStr">
        <is>
          <t>≤100 s 报障并显示故障类型</t>
        </is>
      </c>
      <c r="I31" s="2" t="n"/>
      <c r="J31" s="2" t="n"/>
      <c r="K31" s="2" t="n"/>
      <c r="L31" s="2" t="n"/>
      <c r="M31" s="2" t="n"/>
    </row>
    <row r="32">
      <c r="A32" s="2" t="n">
        <v>31</v>
      </c>
      <c r="B32" s="2" t="inlineStr">
        <is>
          <t>FT-04</t>
        </is>
      </c>
      <c r="C32" s="2" t="inlineStr">
        <is>
          <t>故障报警</t>
        </is>
      </c>
      <c r="D32" s="2" t="inlineStr">
        <is>
          <t>故障消音与再启动</t>
        </is>
      </c>
      <c r="E32" s="2" t="inlineStr">
        <is>
          <t>P0</t>
        </is>
      </c>
      <c r="F32" s="2" t="inlineStr">
        <is>
          <t>5.4.3.2</t>
        </is>
      </c>
      <c r="G32" s="2" t="inlineStr">
        <is>
          <t>① 正面：消音后制造另一个新故障；② 反面：消音后让同一故障持续存在若干个巡检周期（≥3 轮）；③ 复发：排除该故障（灯灭）后使其再次发生</t>
        </is>
      </c>
      <c r="H32" s="2" t="inlineStr">
        <is>
          <t>① 新故障输入时声信号再启动；② 同一持续故障被巡检反复确认不得再触发声音（"再有输入"＝新事件，非状态延续——实现最易错点）；③ 已排除后复发算新事件，声音重新启动；全程光保持至故障排除</t>
        </is>
      </c>
      <c r="I32" s="2" t="n"/>
      <c r="J32" s="2" t="n"/>
      <c r="K32" s="2" t="n"/>
      <c r="L32" s="2" t="n"/>
      <c r="M32" s="2" t="n"/>
    </row>
    <row r="33">
      <c r="A33" s="2" t="n">
        <v>32</v>
      </c>
      <c r="B33" s="2" t="inlineStr">
        <is>
          <t>FT-05</t>
        </is>
      </c>
      <c r="C33" s="2" t="inlineStr">
        <is>
          <t>故障报警</t>
        </is>
      </c>
      <c r="D33" s="2" t="inlineStr">
        <is>
          <t>故障复位与复显</t>
        </is>
      </c>
      <c r="E33" s="2" t="inlineStr">
        <is>
          <t>P0</t>
        </is>
      </c>
      <c r="F33" s="2" t="inlineStr">
        <is>
          <t>5.4.3.8 ↔ 6.5.4</t>
        </is>
      </c>
      <c r="G33" s="2" t="inlineStr">
        <is>
          <t>① 保留一个故障源，手动复位，计时；② 排除所有故障源后观察（光信号自动熄灭则不复位；未自动清除则手动复位）</t>
        </is>
      </c>
      <c r="H33" s="2" t="inlineStr">
        <is>
          <t>① ≤20 s 完成复位并显示复位完成状态；尚存故障 ≤100 s 重新显示；② 全部故障排除后指示完全清空、无残留——自动恢复路径（灯随故障排除自动灭）与手动复位路径都必须把显示清干净，不许挂"幽灵故障"</t>
        </is>
      </c>
      <c r="I33" s="2" t="n"/>
      <c r="J33" s="2" t="n"/>
      <c r="K33" s="2" t="n"/>
      <c r="L33" s="2" t="n"/>
      <c r="M33" s="2" t="n"/>
    </row>
    <row r="34">
      <c r="A34" s="2" t="n">
        <v>33</v>
      </c>
      <c r="B34" s="2" t="inlineStr">
        <is>
          <t>FT-06</t>
        </is>
      </c>
      <c r="C34" s="2" t="inlineStr">
        <is>
          <t>故障报警</t>
        </is>
      </c>
      <c r="D34" s="2" t="inlineStr">
        <is>
          <t>主电断+备电不足报警保持</t>
        </is>
      </c>
      <c r="E34" s="2" t="inlineStr">
        <is>
          <t>P1</t>
        </is>
      </c>
      <c r="F34" s="2" t="inlineStr">
        <is>
          <t>5.4.3.6 ↔ 6.5.6</t>
        </is>
      </c>
      <c r="G34" s="2" t="inlineStr">
        <is>
          <t>断主电并使备电降至不能保证正常工作</t>
        </is>
      </c>
      <c r="H34" s="2" t="inlineStr">
        <is>
          <t>发出声故障信号并保持 ≥1 h</t>
        </is>
      </c>
      <c r="I34" s="2" t="n"/>
      <c r="J34" s="2" t="n"/>
      <c r="K34" s="2" t="n"/>
      <c r="L34" s="2" t="n"/>
      <c r="M34" s="2" t="n"/>
    </row>
    <row r="35">
      <c r="A35" s="2" t="n">
        <v>34</v>
      </c>
      <c r="B35" s="2" t="inlineStr">
        <is>
          <t>FT-07</t>
        </is>
      </c>
      <c r="C35" s="2" t="inlineStr">
        <is>
          <t>故障报警</t>
        </is>
      </c>
      <c r="D35" s="2" t="inlineStr">
        <is>
          <t>故障隔离性（矩阵测法）</t>
        </is>
      </c>
      <c r="E35" s="2" t="inlineStr">
        <is>
          <t>P0</t>
        </is>
      </c>
      <c r="F35" s="2" t="inlineStr">
        <is>
          <t>5.4.3.9 ↔ 6.5.8</t>
        </is>
      </c>
      <c r="G35" s="2" t="inlineStr">
        <is>
          <t>按故障等价类逐行制造并保持故障：①回路整条断路 ②隔离段被切除（引用 FT-09）③警报器线断 ④联动设备线断 ⑤CRT 通信断 ⑥充电器-备电线断 ⑦存储单元失效；每行故障存在期间跑全套存活功能：非故障部位探测器报警、手报、联动输出、面板操作、上传、记录</t>
        </is>
      </c>
      <c r="H35" s="2" t="inlineStr">
        <is>
          <t>非故障部分不仅"能用"且仍达标：火警 ≤10 s、联动 ≤3 s、故障复显 ≤100 s 全部重新计时验证（防共享资源被故障处理拖死——重试阻塞主循环、事件队列被故障风暴刷爆等）；⑤故障下本地报警判定与联动必须完全独立完成（离线能力）</t>
        </is>
      </c>
      <c r="I35" s="2" t="n"/>
      <c r="J35" s="2" t="n"/>
      <c r="K35" s="2" t="n"/>
      <c r="L35" s="2" t="n"/>
      <c r="M35" s="2" t="n"/>
    </row>
    <row r="36">
      <c r="A36" s="2" t="n">
        <v>35</v>
      </c>
      <c r="B36" s="2" t="inlineStr">
        <is>
          <t>FT-08</t>
        </is>
      </c>
      <c r="C36" s="2" t="inlineStr">
        <is>
          <t>故障报警</t>
        </is>
      </c>
      <c r="D36" s="2" t="inlineStr">
        <is>
          <t>故障信息容量与查询</t>
        </is>
      </c>
      <c r="E36" s="2" t="inlineStr">
        <is>
          <t>P1</t>
        </is>
      </c>
      <c r="F36" s="2" t="inlineStr">
        <is>
          <t>5.4.3.5 ↔ 6.5.10</t>
        </is>
      </c>
      <c r="G36" s="2" t="inlineStr">
        <is>
          <t>增加故障数直至显示区域不能同时显示</t>
        </is>
      </c>
      <c r="H36" s="2" t="inlineStr">
        <is>
          <t>未显示故障可手动查询</t>
        </is>
      </c>
      <c r="I36" s="2" t="n"/>
      <c r="J36" s="2" t="n"/>
      <c r="K36" s="2" t="n"/>
      <c r="L36" s="2" t="n"/>
      <c r="M36" s="2" t="n"/>
    </row>
    <row r="37">
      <c r="A37" s="2" t="n">
        <v>36</v>
      </c>
      <c r="B37" s="2" t="inlineStr">
        <is>
          <t>FT-09</t>
        </is>
      </c>
      <c r="C37" s="2" t="inlineStr">
        <is>
          <t>故障报警</t>
        </is>
      </c>
      <c r="D37" s="2" t="inlineStr">
        <is>
          <t>总线短路隔离器</t>
        </is>
      </c>
      <c r="E37" s="2" t="inlineStr">
        <is>
          <t>P0</t>
        </is>
      </c>
      <c r="F37" s="2" t="inlineStr">
        <is>
          <t>5.4.3.11 ↔ 6.5.9</t>
        </is>
      </c>
      <c r="G37" s="2" t="inlineStr">
        <is>
          <t>条件适用条款（"当采用总线工作方式时"）：仅总线制机型须设短路隔离器，多线制豁免——本产品为二总线＝条件恒成立，必做（区别于 FA-08/LC-10 那类可自由选择的功能，逃脱本条的唯一方式是放弃总线架构）。试验：使总线某点短路；随后使隔离段外的探测器报火警、联动设备动作</t>
        </is>
      </c>
      <c r="H37" s="2" t="inlineStr">
        <is>
          <t>隔离器动作并指示被隔离部件部位号或故障部位号；受影响部件 ≤32 点（布线规则：每 32 点插一个隔离器）；隔离段外设备报警/控制功能照常（32 点上限的意义所在）；短路排除后可恢复被隔离段</t>
        </is>
      </c>
      <c r="I37" s="2" t="n"/>
      <c r="J37" s="2" t="n"/>
      <c r="K37" s="2" t="n"/>
      <c r="L37" s="2" t="n"/>
      <c r="M37" s="2" t="n"/>
    </row>
    <row r="38">
      <c r="A38" s="2" t="n">
        <v>37</v>
      </c>
      <c r="B38" s="2" t="inlineStr">
        <is>
          <t>FT-10</t>
        </is>
      </c>
      <c r="C38" s="2" t="inlineStr">
        <is>
          <t>故障报警</t>
        </is>
      </c>
      <c r="D38" s="2" t="inlineStr">
        <is>
          <t>火警与故障显示优先级</t>
        </is>
      </c>
      <c r="E38" s="2" t="inlineStr">
        <is>
          <t>P1</t>
        </is>
      </c>
      <c r="F38" s="2" t="inlineStr">
        <is>
          <t>5.4.3.3 尾注</t>
        </is>
      </c>
      <c r="G38" s="2" t="inlineStr">
        <is>
          <t>（"a)/b)"指 5.4.3.3 的列表项，即 §3.1 地图中报警回路侧和层显那两段线——判断归属看故障线对端挂的是什么设备。）① 拔掉探测器回路的一根线（＝a) 项断路），等故障显示出现后，使另一回路/另一部位的探测器报火警；② 恢复①，改为回路线经电阻碰机壳（＝a) 项接地故障），再使另一部位报火警</t>
        </is>
      </c>
      <c r="H38" s="2" t="inlineStr">
        <is>
          <t>① 火警出现后，该断路故障准许从显示暂缓/消失（探测器在报警说明线通着，此刻断路信息价值低，让位火警）；② 接地故障是例外，火警状态下仍须显示（接地在恶化，不能藏）；两种情况下故障记录照记、上报照传；火警复位后，仍存的故障 ≤100 s 重新显示（衔接 FT-05）。对照注意：若拔的是警报器线（c) 项）则判定完全相反——火警时必须显示，别拔错线</t>
        </is>
      </c>
      <c r="I38" s="2" t="n"/>
      <c r="J38" s="2" t="n"/>
      <c r="K38" s="2" t="n"/>
      <c r="L38" s="2" t="n"/>
      <c r="M38" s="2" t="n"/>
    </row>
    <row r="39">
      <c r="A39" s="2" t="n">
        <v>38</v>
      </c>
      <c r="B39" s="2" t="inlineStr">
        <is>
          <t>FT-11</t>
        </is>
      </c>
      <c r="C39" s="2" t="inlineStr">
        <is>
          <t>故障报警</t>
        </is>
      </c>
      <c r="D39" s="2" t="inlineStr">
        <is>
          <t>总线线间电阻故障</t>
        </is>
      </c>
      <c r="E39" s="2" t="inlineStr">
        <is>
          <t>P1</t>
        </is>
      </c>
      <c r="F39" s="2" t="inlineStr">
        <is>
          <t>5.4.3.3 d)</t>
        </is>
      </c>
      <c r="G39" s="2" t="inlineStr">
        <is>
          <t>使报警/联动/设备控制总线线间电阻低于规定值</t>
        </is>
      </c>
      <c r="H39" s="2" t="inlineStr">
        <is>
          <t>影响正常通信时报障</t>
        </is>
      </c>
      <c r="I39" s="2" t="n"/>
      <c r="J39" s="2" t="n"/>
      <c r="K39" s="2" t="n"/>
      <c r="L39" s="2" t="n"/>
      <c r="M39" s="2" t="n"/>
    </row>
    <row r="40">
      <c r="A40" s="2" t="n">
        <v>39</v>
      </c>
      <c r="B40" s="2" t="inlineStr">
        <is>
          <t>FT-12</t>
        </is>
      </c>
      <c r="C40" s="2" t="inlineStr">
        <is>
          <t>故障报警</t>
        </is>
      </c>
      <c r="D40" s="2" t="inlineStr">
        <is>
          <t>故障总灯无条件点亮</t>
        </is>
      </c>
      <c r="E40" s="2" t="inlineStr">
        <is>
          <t>P0</t>
        </is>
      </c>
      <c r="F40" s="2" t="inlineStr">
        <is>
          <t>5.4.3.1</t>
        </is>
      </c>
      <c r="G40" s="2" t="inlineStr">
        <is>
          <t>分别在火警状态中、自检进行中、存在屏蔽时制造一个新故障</t>
        </is>
      </c>
      <c r="H40" s="2" t="inlineStr">
        <is>
          <t>三种状态下故障总指示灯均点亮（常亮，5.3.1.5 默认亮法）；该灯是全机故障的 OR、直连灯，不参与显示等级仲裁——显示器上的故障信息可被高等级信息暂缓，总灯不可</t>
        </is>
      </c>
      <c r="I40" s="2" t="n"/>
      <c r="J40" s="2" t="n"/>
      <c r="K40" s="2" t="n"/>
      <c r="L40" s="2" t="n"/>
      <c r="M40" s="2" t="n"/>
    </row>
    <row r="41">
      <c r="A41" s="2" t="n">
        <v>40</v>
      </c>
      <c r="B41" s="2" t="inlineStr">
        <is>
          <t>SH-01</t>
        </is>
      </c>
      <c r="C41" s="2" t="inlineStr">
        <is>
          <t>屏蔽</t>
        </is>
      </c>
      <c r="D41" s="2" t="inlineStr">
        <is>
          <t>屏蔽操作与指示</t>
        </is>
      </c>
      <c r="E41" s="2" t="inlineStr">
        <is>
          <t>P1</t>
        </is>
      </c>
      <c r="F41" s="2" t="inlineStr">
        <is>
          <t>5.4.4.1～5.4.4.3</t>
        </is>
      </c>
      <c r="G41" s="2" t="inlineStr">
        <is>
          <t>手动屏蔽一只探测器，计时；尝试一次屏蔽多只；尝试屏蔽火警/故障状态探测器</t>
        </is>
      </c>
      <c r="H41" s="2" t="inlineStr">
        <is>
          <t>仅手动、每次仅 1 只；不能屏蔽火警/故障状态探测器；≤10 s 启动屏蔽指示；屏蔽总指示灯亮并显示屏蔽时间（＝设定时刻非时长；存储必含年月日时分秒·附录 B 表 B.2，显示至少到年月日时分——只显时分则防遗忘功能作废；UX 增强建议：旁加派生"已屏蔽 N 天"，时间戳为权威数据）</t>
        </is>
      </c>
      <c r="I41" s="2" t="n"/>
      <c r="J41" s="2" t="n"/>
      <c r="K41" s="2" t="n"/>
      <c r="L41" s="2" t="n"/>
      <c r="M41" s="2" t="n"/>
    </row>
    <row r="42">
      <c r="A42" s="2" t="n">
        <v>41</v>
      </c>
      <c r="B42" s="2" t="inlineStr">
        <is>
          <t>SH-02</t>
        </is>
      </c>
      <c r="C42" s="2" t="inlineStr">
        <is>
          <t>屏蔽</t>
        </is>
      </c>
      <c r="D42" s="2" t="inlineStr">
        <is>
          <t>屏蔽层级显示（折叠边界）</t>
        </is>
      </c>
      <c r="E42" s="2" t="inlineStr">
        <is>
          <t>P1</t>
        </is>
      </c>
      <c r="F42" s="2" t="inlineStr">
        <is>
          <t>5.4.4.5/5.4.4.6</t>
        </is>
      </c>
      <c r="G42" s="2" t="inlineStr">
        <is>
          <t>逐个屏蔽同一探测区/回路内全部部位，沿边界测三个判定点：① 屏到 N-1 个时；② 屏满第 N 个的那一刻；③ 再解除任意 1 个后</t>
        </is>
      </c>
      <c r="H42" s="2" t="inlineStr">
        <is>
          <t>"回路被屏蔽"＝屏蔽列表里的聚合折叠行（一行代表整条回路），折叠条件是严格全集（防夸大折叠：199/200 屏了仍须逐点/按区列出，否则值班员误以为整回路全瞎、维保漏掉未屏的点）。判定：① N-1 时不许出现折叠行；② 全集达成才折叠；③ 解除 1 个立即退化回逐点/区级。折叠仅发生在显示层——黑匣子/上报仍逐点记（事件 72/73）</t>
        </is>
      </c>
      <c r="I42" s="2" t="n"/>
      <c r="J42" s="2" t="n"/>
      <c r="K42" s="2" t="n"/>
      <c r="L42" s="2" t="n"/>
      <c r="M42" s="2" t="n"/>
    </row>
    <row r="43">
      <c r="A43" s="2" t="n">
        <v>42</v>
      </c>
      <c r="B43" s="2" t="inlineStr">
        <is>
          <t>SH-03</t>
        </is>
      </c>
      <c r="C43" s="2" t="inlineStr">
        <is>
          <t>屏蔽</t>
        </is>
      </c>
      <c r="D43" s="2" t="inlineStr">
        <is>
          <t>屏蔽状态持久性</t>
        </is>
      </c>
      <c r="E43" s="2" t="inlineStr">
        <is>
          <t>P1</t>
        </is>
      </c>
      <c r="F43" s="2" t="inlineStr">
        <is>
          <t>5.4.4.7 ↔ 6.6.3</t>
        </is>
      </c>
      <c r="G43" s="2" t="inlineStr">
        <is>
          <t>屏蔽后执行复位、主备电断电重启</t>
        </is>
      </c>
      <c r="H43" s="2" t="inlineStr">
        <is>
          <t>屏蔽状态不受复位、开关机影响</t>
        </is>
      </c>
      <c r="I43" s="2" t="n"/>
      <c r="J43" s="2" t="n"/>
      <c r="K43" s="2" t="n"/>
      <c r="L43" s="2" t="n"/>
      <c r="M43" s="2" t="n"/>
    </row>
    <row r="44">
      <c r="A44" s="2" t="n">
        <v>43</v>
      </c>
      <c r="B44" s="2" t="inlineStr">
        <is>
          <t>SH-04</t>
        </is>
      </c>
      <c r="C44" s="2" t="inlineStr">
        <is>
          <t>屏蔽</t>
        </is>
      </c>
      <c r="D44" s="2" t="inlineStr">
        <is>
          <t>屏蔽不影响其他部位</t>
        </is>
      </c>
      <c r="E44" s="2" t="inlineStr">
        <is>
          <t>P1</t>
        </is>
      </c>
      <c r="F44" s="2" t="inlineStr">
        <is>
          <t>↔ 6.6.5</t>
        </is>
      </c>
      <c r="G44" s="2" t="inlineStr">
        <is>
          <t>屏蔽某部位后使非屏蔽部位报火警</t>
        </is>
      </c>
      <c r="H44" s="2" t="inlineStr">
        <is>
          <t>非屏蔽部位正常报警，屏蔽显示不丢失</t>
        </is>
      </c>
      <c r="I44" s="2" t="n"/>
      <c r="J44" s="2" t="n"/>
      <c r="K44" s="2" t="n"/>
      <c r="L44" s="2" t="n"/>
      <c r="M44" s="2" t="n"/>
    </row>
    <row r="45">
      <c r="A45" s="2" t="n">
        <v>44</v>
      </c>
      <c r="B45" s="2" t="inlineStr">
        <is>
          <t>SH-05</t>
        </is>
      </c>
      <c r="C45" s="2" t="inlineStr">
        <is>
          <t>屏蔽</t>
        </is>
      </c>
      <c r="D45" s="2" t="inlineStr">
        <is>
          <t>屏蔽信息查询与解除</t>
        </is>
      </c>
      <c r="E45" s="2" t="inlineStr">
        <is>
          <t>P1</t>
        </is>
      </c>
      <c r="F45" s="2" t="inlineStr">
        <is>
          <t>5.4.4.4 ↔ 6.6.4</t>
        </is>
      </c>
      <c r="G45" s="2" t="inlineStr">
        <is>
          <t>屏蔽多个部位至显示区不足；逐一解除</t>
        </is>
      </c>
      <c r="H45" s="2" t="inlineStr">
        <is>
          <t>显示最新屏蔽信息、其余可查；可单独解除</t>
        </is>
      </c>
      <c r="I45" s="2" t="n"/>
      <c r="J45" s="2" t="n"/>
      <c r="K45" s="2" t="n"/>
      <c r="L45" s="2" t="n"/>
      <c r="M45" s="2" t="n"/>
    </row>
    <row r="46">
      <c r="A46" s="2" t="n">
        <v>45</v>
      </c>
      <c r="B46" s="2" t="inlineStr">
        <is>
          <t>SV-01</t>
        </is>
      </c>
      <c r="C46" s="2" t="inlineStr">
        <is>
          <t>监管报警</t>
        </is>
      </c>
      <c r="D46" s="2" t="inlineStr">
        <is>
          <t>监管报警响应</t>
        </is>
      </c>
      <c r="E46" s="2" t="inlineStr">
        <is>
          <t>P1</t>
        </is>
      </c>
      <c r="F46" s="2" t="inlineStr">
        <is>
          <t>5.4.5.1/5.4.5.2</t>
        </is>
      </c>
      <c r="G46" s="2" t="inlineStr">
        <is>
          <t>输入监管信号（如信号阀限位开关动作），计时；另测与火警并存：监管存在时使另一部位报火警</t>
        </is>
      </c>
      <c r="H46" s="2" t="inlineStr">
        <is>
          <t>≤100 s 发出与火警有明显区别的监管声光；监管总指示灯亮（红，11 灯序列独立灯位）；显示监管报警时间。与火警并存：两盏总灯同时亮互不遮蔽（"无条件灯"公式）；监管详细信息可被火警暂缓显示但可查（显示等级第 4）；声音并存口径（标准留白，自定并标注）：同一蜂鸣器按显示等级取最高＝火警声覆盖监管声，监管光照常保持</t>
        </is>
      </c>
      <c r="I46" s="2" t="n"/>
      <c r="J46" s="2" t="n"/>
      <c r="K46" s="2" t="n"/>
      <c r="L46" s="2" t="n"/>
      <c r="M46" s="2" t="n"/>
    </row>
    <row r="47">
      <c r="A47" s="2" t="n">
        <v>46</v>
      </c>
      <c r="B47" s="2" t="inlineStr">
        <is>
          <t>SV-02</t>
        </is>
      </c>
      <c r="C47" s="2" t="inlineStr">
        <is>
          <t>监管报警</t>
        </is>
      </c>
      <c r="D47" s="2" t="inlineStr">
        <is>
          <t>监管消音/复位/重建</t>
        </is>
      </c>
      <c r="E47" s="2" t="inlineStr">
        <is>
          <t>P1</t>
        </is>
      </c>
      <c r="F47" s="2" t="inlineStr">
        <is>
          <t>5.4.5.2</t>
        </is>
      </c>
      <c r="G47" s="2" t="inlineStr">
        <is>
          <t>消音→新监管信号；监管源保持时复位</t>
        </is>
      </c>
      <c r="H47" s="2" t="inlineStr">
        <is>
          <t>声可消、新信号再启动；光保持至复位；复位后监管仍存在→保持或 ≤60 s 重新建立</t>
        </is>
      </c>
      <c r="I47" s="2" t="n"/>
      <c r="J47" s="2" t="n"/>
      <c r="K47" s="2" t="n"/>
      <c r="L47" s="2" t="n"/>
      <c r="M47" s="2" t="n"/>
    </row>
    <row r="48">
      <c r="A48" s="2" t="n">
        <v>47</v>
      </c>
      <c r="B48" s="2" t="inlineStr">
        <is>
          <t>SV-03</t>
        </is>
      </c>
      <c r="C48" s="2" t="inlineStr">
        <is>
          <t>监管报警</t>
        </is>
      </c>
      <c r="D48" s="2" t="inlineStr">
        <is>
          <t>监管信息查询</t>
        </is>
      </c>
      <c r="E48" s="2" t="inlineStr">
        <is>
          <t>P1</t>
        </is>
      </c>
      <c r="F48" s="2" t="inlineStr">
        <is>
          <t>5.4.5.3 ↔ 6.7.5</t>
        </is>
      </c>
      <c r="G48" s="2" t="inlineStr">
        <is>
          <t>增加监管信息至显示区不足</t>
        </is>
      </c>
      <c r="H48" s="2" t="inlineStr">
        <is>
          <t>未显示信息可手动查询</t>
        </is>
      </c>
      <c r="I48" s="2" t="n"/>
      <c r="J48" s="2" t="n"/>
      <c r="K48" s="2" t="n"/>
      <c r="L48" s="2" t="n"/>
      <c r="M48" s="2" t="n"/>
    </row>
    <row r="49">
      <c r="A49" s="2" t="n">
        <v>48</v>
      </c>
      <c r="B49" s="2" t="inlineStr">
        <is>
          <t>ST-01</t>
        </is>
      </c>
      <c r="C49" s="2" t="inlineStr">
        <is>
          <t>自检</t>
        </is>
      </c>
      <c r="D49" s="2" t="inlineStr">
        <is>
          <t>自检不动作输出</t>
        </is>
      </c>
      <c r="E49" s="2" t="inlineStr">
        <is>
          <t>P0</t>
        </is>
      </c>
      <c r="F49" s="2" t="inlineStr">
        <is>
          <t>5.4.6.1</t>
        </is>
      </c>
      <c r="G49" s="2" t="inlineStr">
        <is>
          <t>启动自检，监视所有外接设备与输出接点</t>
        </is>
      </c>
      <c r="H49" s="2" t="inlineStr">
        <is>
          <t>自检期间受控外接设备与输出接点均不动作</t>
        </is>
      </c>
      <c r="I49" s="2" t="n"/>
      <c r="J49" s="2" t="n"/>
      <c r="K49" s="2" t="n"/>
      <c r="L49" s="2" t="n"/>
      <c r="M49" s="2" t="n"/>
    </row>
    <row r="50">
      <c r="A50" s="2" t="n">
        <v>49</v>
      </c>
      <c r="B50" s="2" t="inlineStr">
        <is>
          <t>ST-02</t>
        </is>
      </c>
      <c r="C50" s="2" t="inlineStr">
        <is>
          <t>自检</t>
        </is>
      </c>
      <c r="D50" s="2" t="inlineStr">
        <is>
          <t>自检不阻断报警（仅严格档）</t>
        </is>
      </c>
      <c r="E50" s="2" t="inlineStr">
        <is>
          <t>P0</t>
        </is>
      </c>
      <c r="F50" s="2" t="inlineStr">
        <is>
          <t>5.4.6.1 ↔ 6.8.2</t>
        </is>
      </c>
      <c r="G50" s="2" t="inlineStr">
        <is>
          <t>本判据只适用于"自检 &gt;1 min 或不能自动停止"的严格档（6.8.2 原文"对于……的试样"）：在此类自检期间使非自检回路报火警</t>
        </is>
      </c>
      <c r="H50" s="2" t="inlineStr">
        <is>
          <t>非自检部位、探测区及控制器本身火警功能正常。防误杀：5.4.6.1 是有限豁免条款——≤1 min 且自动停止的自检（如面板全亮全响自检）准许短暂影响报警功能（人在场+窗口有硬上限+全亮时报警灯本就无法区分），在豁免窗口内塞火警发现响应降级不算不合格</t>
        </is>
      </c>
      <c r="I50" s="2" t="n"/>
      <c r="J50" s="2" t="n"/>
      <c r="K50" s="2" t="n"/>
      <c r="L50" s="2" t="n"/>
      <c r="M50" s="2" t="n"/>
    </row>
    <row r="51">
      <c r="A51" s="2" t="n">
        <v>50</v>
      </c>
      <c r="B51" s="2" t="inlineStr">
        <is>
          <t>ST-03</t>
        </is>
      </c>
      <c r="C51" s="2" t="inlineStr">
        <is>
          <t>自检</t>
        </is>
      </c>
      <c r="D51" s="2" t="inlineStr">
        <is>
          <t>指示灯/显示器/音响检查</t>
        </is>
      </c>
      <c r="E51" s="2" t="inlineStr">
        <is>
          <t>P0</t>
        </is>
      </c>
      <c r="F51" s="2" t="inlineStr">
        <is>
          <t>5.4.6.2 ↔ 6.8.3</t>
        </is>
      </c>
      <c r="G51" s="2" t="inlineStr">
        <is>
          <t>手动执行面板检查</t>
        </is>
      </c>
      <c r="H51" s="2" t="inlineStr">
        <is>
          <t>所有指示灯、显示器、声部件可手动检查</t>
        </is>
      </c>
      <c r="I51" s="2" t="n"/>
      <c r="J51" s="2" t="n"/>
      <c r="K51" s="2" t="n"/>
      <c r="L51" s="2" t="n"/>
      <c r="M51" s="2" t="n"/>
    </row>
    <row r="52">
      <c r="A52" s="2" t="n">
        <v>51</v>
      </c>
      <c r="B52" s="2" t="inlineStr">
        <is>
          <t>ST-04</t>
        </is>
      </c>
      <c r="C52" s="2" t="inlineStr">
        <is>
          <t>自检</t>
        </is>
      </c>
      <c r="D52" s="2" t="inlineStr">
        <is>
          <t>分部位自检</t>
        </is>
      </c>
      <c r="E52" s="2" t="inlineStr">
        <is>
          <t>P1</t>
        </is>
      </c>
      <c r="F52" s="2" t="inlineStr">
        <is>
          <t>5.4.6.3 ↔ 6.8.4～6.8.6</t>
        </is>
      </c>
      <c r="G52" s="2" t="inlineStr">
        <is>
          <t>对单个部位/探测区启动与解除自检（如具备）</t>
        </is>
      </c>
      <c r="H52" s="2" t="inlineStr">
        <is>
          <t>专用自检总指示灯点亮；自检部位可查；单独启动/解除；不影响其他部位显示与输出（检查警报器功能除外）</t>
        </is>
      </c>
      <c r="I52" s="2" t="n"/>
      <c r="J52" s="2" t="n"/>
      <c r="K52" s="2" t="n"/>
      <c r="L52" s="2" t="n"/>
      <c r="M52" s="2" t="n"/>
    </row>
    <row r="53">
      <c r="A53" s="2" t="n">
        <v>52</v>
      </c>
      <c r="B53" s="2" t="inlineStr">
        <is>
          <t>DP-01</t>
        </is>
      </c>
      <c r="C53" s="2" t="inlineStr">
        <is>
          <t>显示与查询</t>
        </is>
      </c>
      <c r="D53" s="2" t="inlineStr">
        <is>
          <t>显示等级排序</t>
        </is>
      </c>
      <c r="E53" s="2" t="inlineStr">
        <is>
          <t>P0</t>
        </is>
      </c>
      <c r="F53" s="2" t="inlineStr">
        <is>
          <t>5.4.7.1/5.4.7.2</t>
        </is>
      </c>
      <c r="G53" s="2" t="inlineStr">
        <is>
          <t>使多类信息同时存在</t>
        </is>
      </c>
      <c r="H53" s="2" t="inlineStr">
        <is>
          <t>无联动功能：火警 &gt; 监管 &gt; 故障 &gt; 屏蔽；有联动功能：火警 &gt; 启动 &gt; 反馈 &gt; 监管 &gt; 故障 &gt; 屏蔽；高等级优先、低等级不覆盖、不交替显示</t>
        </is>
      </c>
      <c r="I53" s="2" t="n"/>
      <c r="J53" s="2" t="n"/>
      <c r="K53" s="2" t="n"/>
      <c r="L53" s="2" t="n"/>
      <c r="M53" s="2" t="n"/>
    </row>
    <row r="54">
      <c r="A54" s="2" t="n">
        <v>53</v>
      </c>
      <c r="B54" s="2" t="inlineStr">
        <is>
          <t>DP-02</t>
        </is>
      </c>
      <c r="C54" s="2" t="inlineStr">
        <is>
          <t>显示与查询</t>
        </is>
      </c>
      <c r="D54" s="2" t="inlineStr">
        <is>
          <t>低等级信息可查</t>
        </is>
      </c>
      <c r="E54" s="2" t="inlineStr">
        <is>
          <t>P0</t>
        </is>
      </c>
      <c r="F54" s="2" t="inlineStr">
        <is>
          <t>5.4.7.3</t>
        </is>
      </c>
      <c r="G54" s="2" t="inlineStr">
        <is>
          <t>火警显示状态下查询故障/屏蔽</t>
        </is>
      </c>
      <c r="H54" s="2" t="inlineStr">
        <is>
          <t>可手动查询各低等级信息</t>
        </is>
      </c>
      <c r="I54" s="2" t="n"/>
      <c r="J54" s="2" t="n"/>
      <c r="K54" s="2" t="n"/>
      <c r="L54" s="2" t="n"/>
      <c r="M54" s="2" t="n"/>
    </row>
    <row r="55">
      <c r="A55" s="2" t="n">
        <v>54</v>
      </c>
      <c r="B55" s="2" t="inlineStr">
        <is>
          <t>DP-03</t>
        </is>
      </c>
      <c r="C55" s="2" t="inlineStr">
        <is>
          <t>显示与查询</t>
        </is>
      </c>
      <c r="D55" s="2" t="inlineStr">
        <is>
          <t>分区显示</t>
        </is>
      </c>
      <c r="E55" s="2" t="inlineStr">
        <is>
          <t>P0</t>
        </is>
      </c>
      <c r="F55" s="2" t="inlineStr">
        <is>
          <t>5.4.7.4 ↔ 6.9.2</t>
        </is>
      </c>
      <c r="G55" s="2" t="inlineStr">
        <is>
          <t>同时存在多类信息</t>
        </is>
      </c>
      <c r="H55" s="2" t="inlineStr">
        <is>
          <t>各类信息按类别在单独划分的区域显示</t>
        </is>
      </c>
      <c r="I55" s="2" t="n"/>
      <c r="J55" s="2" t="n"/>
      <c r="K55" s="2" t="n"/>
      <c r="L55" s="2" t="n"/>
      <c r="M55" s="2" t="n"/>
    </row>
    <row r="56">
      <c r="A56" s="2" t="n">
        <v>55</v>
      </c>
      <c r="B56" s="2" t="inlineStr">
        <is>
          <t>DP-04</t>
        </is>
      </c>
      <c r="C56" s="2" t="inlineStr">
        <is>
          <t>显示与查询</t>
        </is>
      </c>
      <c r="D56" s="2" t="inlineStr">
        <is>
          <t>显示器件规格</t>
        </is>
      </c>
      <c r="E56" s="2" t="inlineStr">
        <is>
          <t>P1</t>
        </is>
      </c>
      <c r="F56" s="2" t="inlineStr">
        <is>
          <t>5.3.2.2/5.3.3</t>
        </is>
      </c>
      <c r="G56" s="2" t="inlineStr">
        <is>
          <t>光照 100～500 lx、正前方 22.5° 视角检查</t>
        </is>
      </c>
      <c r="H56" s="2" t="inlineStr">
        <is>
          <t>手/自动/检查开启灯 0.8 m 可见，其他指示灯 3 m 可见；字符显示器 0.8 m 可读</t>
        </is>
      </c>
      <c r="I56" s="2" t="n"/>
      <c r="J56" s="2" t="n"/>
      <c r="K56" s="2" t="n"/>
      <c r="L56" s="2" t="n"/>
      <c r="M56" s="2" t="n"/>
    </row>
    <row r="57">
      <c r="A57" s="2" t="n">
        <v>56</v>
      </c>
      <c r="B57" s="2" t="inlineStr">
        <is>
          <t>CK-01</t>
        </is>
      </c>
      <c r="C57" s="2" t="inlineStr">
        <is>
          <t>检查功能</t>
        </is>
      </c>
      <c r="D57" s="2" t="inlineStr">
        <is>
          <t>四类总数显示</t>
        </is>
      </c>
      <c r="E57" s="2" t="inlineStr">
        <is>
          <t>P1</t>
        </is>
      </c>
      <c r="F57" s="2" t="inlineStr">
        <is>
          <t>5.4.9.1 ↔ 6.11.1～6.11.6</t>
        </is>
      </c>
      <c r="G57" s="2" t="inlineStr">
        <is>
          <t>接 ≥10 只探测器 + ≥2 只手报；操作检查按钮</t>
        </is>
      </c>
      <c r="H57" s="2" t="inlineStr">
        <is>
          <t>显示：工程设计设备类别与地址总数 / 正常工作总数 / 故障总数 / 已屏蔽总数；检查按钮方形红色 ≥12 mm×12 mm；操作不受操作级别限制；检查状态指示灯随进出点亮/熄灭</t>
        </is>
      </c>
      <c r="I57" s="2" t="n"/>
      <c r="J57" s="2" t="n"/>
      <c r="K57" s="2" t="n"/>
      <c r="L57" s="2" t="n"/>
      <c r="M57" s="2" t="n"/>
    </row>
    <row r="58">
      <c r="A58" s="2" t="n">
        <v>57</v>
      </c>
      <c r="B58" s="2" t="inlineStr">
        <is>
          <t>CK-02</t>
        </is>
      </c>
      <c r="C58" s="2" t="inlineStr">
        <is>
          <t>检查功能</t>
        </is>
      </c>
      <c r="D58" s="2" t="inlineStr">
        <is>
          <t>设计总数不受动态影响</t>
        </is>
      </c>
      <c r="E58" s="2" t="inlineStr">
        <is>
          <t>P1</t>
        </is>
      </c>
      <c r="F58" s="2" t="inlineStr">
        <is>
          <t>5.4.9.2 ↔ 6.11.7</t>
        </is>
      </c>
      <c r="G58" s="2" t="inlineStr">
        <is>
          <t>制造 ≥3 种故障、增加屏蔽数后复查</t>
        </is>
      </c>
      <c r="H58" s="2" t="inlineStr">
        <is>
          <t>工程设计总数不随故障/屏蔽总数调整而变</t>
        </is>
      </c>
      <c r="I58" s="2" t="n"/>
      <c r="J58" s="2" t="n"/>
      <c r="K58" s="2" t="n"/>
      <c r="L58" s="2" t="n"/>
      <c r="M58" s="2" t="n"/>
    </row>
    <row r="59">
      <c r="A59" s="2" t="n">
        <v>58</v>
      </c>
      <c r="B59" s="2" t="inlineStr">
        <is>
          <t>CK-03</t>
        </is>
      </c>
      <c r="C59" s="2" t="inlineStr">
        <is>
          <t>检查功能</t>
        </is>
      </c>
      <c r="D59" s="2" t="inlineStr">
        <is>
          <t>检查状态自动退出</t>
        </is>
      </c>
      <c r="E59" s="2" t="inlineStr">
        <is>
          <t>P1</t>
        </is>
      </c>
      <c r="F59" s="2" t="inlineStr">
        <is>
          <t>5.4.9.3 ↔ 6.11.8/6.11.9</t>
        </is>
      </c>
      <c r="G59" s="2" t="inlineStr">
        <is>
          <t>① 检查状态下报火警；② 1 min 不操作</t>
        </is>
      </c>
      <c r="H59" s="2" t="inlineStr">
        <is>
          <t>两种情况均退出检查状态并熄灭指示灯；检查功能不影响火警</t>
        </is>
      </c>
      <c r="I59" s="2" t="n"/>
      <c r="J59" s="2" t="n"/>
      <c r="K59" s="2" t="n"/>
      <c r="L59" s="2" t="n"/>
      <c r="M59" s="2" t="n"/>
    </row>
    <row r="60">
      <c r="A60" s="2" t="n">
        <v>59</v>
      </c>
      <c r="B60" s="2" t="inlineStr">
        <is>
          <t>PW-01</t>
        </is>
      </c>
      <c r="C60" s="2" t="inlineStr">
        <is>
          <t>电源</t>
        </is>
      </c>
      <c r="D60" s="2" t="inlineStr">
        <is>
          <t>主备电自动转换</t>
        </is>
      </c>
      <c r="E60" s="2" t="inlineStr">
        <is>
          <t>P0</t>
        </is>
      </c>
      <c r="F60" s="2" t="inlineStr">
        <is>
          <t>5.4.11.1 ↔ 6.13.1</t>
        </is>
      </c>
      <c r="G60" s="2" t="inlineStr">
        <is>
          <t>切断主电→观察；恢复主电→观察</t>
        </is>
      </c>
      <c r="H60" s="2" t="inlineStr">
        <is>
          <t>自动转备电、自动转回主电；转换不发火警；主备电状态指示正确；主备电均有过流保护</t>
        </is>
      </c>
      <c r="I60" s="2" t="n"/>
      <c r="J60" s="2" t="n"/>
      <c r="K60" s="2" t="n"/>
      <c r="L60" s="2" t="n"/>
      <c r="M60" s="2" t="n"/>
    </row>
    <row r="61">
      <c r="A61" s="2" t="n">
        <v>60</v>
      </c>
      <c r="B61" s="2" t="inlineStr">
        <is>
          <t>PW-02</t>
        </is>
      </c>
      <c r="C61" s="2" t="inlineStr">
        <is>
          <t>电源</t>
        </is>
      </c>
      <c r="D61" s="2" t="inlineStr">
        <is>
          <t>电压容限</t>
        </is>
      </c>
      <c r="E61" s="2" t="inlineStr">
        <is>
          <t>P0</t>
        </is>
      </c>
      <c r="F61" s="2" t="inlineStr">
        <is>
          <t>5.4.11.4</t>
        </is>
      </c>
      <c r="G61" s="2" t="inlineStr">
        <is>
          <t>输入 187 V / 220 V / 242 V（(50±1) Hz）分别做基本功能试验</t>
        </is>
      </c>
      <c r="H61" s="2" t="inlineStr">
        <is>
          <t>全范围正常工作</t>
        </is>
      </c>
      <c r="I61" s="2" t="n"/>
      <c r="J61" s="2" t="n"/>
      <c r="K61" s="2" t="n"/>
      <c r="L61" s="2" t="n"/>
      <c r="M61" s="2" t="n"/>
    </row>
    <row r="62">
      <c r="A62" s="2" t="n">
        <v>61</v>
      </c>
      <c r="B62" s="2" t="inlineStr">
        <is>
          <t>PW-03</t>
        </is>
      </c>
      <c r="C62" s="2" t="inlineStr">
        <is>
          <t>电源</t>
        </is>
      </c>
      <c r="D62" s="2" t="inlineStr">
        <is>
          <t>主电容量</t>
        </is>
      </c>
      <c r="E62" s="2" t="inlineStr">
        <is>
          <t>P2</t>
        </is>
      </c>
      <c r="F62" s="2" t="inlineStr">
        <is>
          <t>5.4.11.2 ↔ 6.13.2</t>
        </is>
      </c>
      <c r="G62" s="2" t="inlineStr">
        <is>
          <t>一个回路接真实负载（回路线 1 000 m、1.0 mm² 铜绞线）；≤10 部位全报警 / &gt;10 部位时 20%（10～30 个）报警；连续 4 h</t>
        </is>
      </c>
      <c r="H62" s="2" t="inlineStr">
        <is>
          <t>4 h 正常工作</t>
        </is>
      </c>
      <c r="I62" s="2" t="n"/>
      <c r="J62" s="2" t="n"/>
      <c r="K62" s="2" t="n"/>
      <c r="L62" s="2" t="n"/>
      <c r="M62" s="2" t="n"/>
    </row>
    <row r="63">
      <c r="A63" s="2" t="n">
        <v>62</v>
      </c>
      <c r="B63" s="2" t="inlineStr">
        <is>
          <t>PW-04</t>
        </is>
      </c>
      <c r="C63" s="2" t="inlineStr">
        <is>
          <t>电源</t>
        </is>
      </c>
      <c r="D63" s="2" t="inlineStr">
        <is>
          <t>备电容量</t>
        </is>
      </c>
      <c r="E63" s="2" t="inlineStr">
        <is>
          <t>P2</t>
        </is>
      </c>
      <c r="F63" s="2" t="inlineStr">
        <is>
          <t>5.4.11.3 ↔ 6.13.3</t>
        </is>
      </c>
      <c r="G63" s="2" t="inlineStr">
        <is>
          <t>备电放至终止电压→充电 24 h→断主电监视 8 h→1/15 部位（10～30 个）报警工作 30 min</t>
        </is>
      </c>
      <c r="H63" s="2" t="inlineStr">
        <is>
          <t>全程正常工作</t>
        </is>
      </c>
      <c r="I63" s="2" t="n"/>
      <c r="J63" s="2" t="n"/>
      <c r="K63" s="2" t="n"/>
      <c r="L63" s="2" t="n"/>
      <c r="M63" s="2" t="n"/>
    </row>
    <row r="64">
      <c r="A64" s="2" t="n">
        <v>63</v>
      </c>
      <c r="B64" s="2" t="inlineStr">
        <is>
          <t>PW-05</t>
        </is>
      </c>
      <c r="C64" s="2" t="inlineStr">
        <is>
          <t>电源</t>
        </is>
      </c>
      <c r="D64" s="2" t="inlineStr">
        <is>
          <t>直流输出稳定度</t>
        </is>
      </c>
      <c r="E64" s="2" t="inlineStr">
        <is>
          <t>P1</t>
        </is>
      </c>
      <c r="F64" s="2" t="inlineStr">
        <is>
          <t>5.4.11.4 ↔ 6.13.2.3</t>
        </is>
      </c>
      <c r="G64" s="2" t="inlineStr">
        <is>
          <t>220/187/242 V 下测输出直流电压；等效负载阶跃测负载稳定度</t>
        </is>
      </c>
      <c r="H64" s="2" t="inlineStr">
        <is>
          <t>电压稳定度、负载稳定度均 ≤5%</t>
        </is>
      </c>
      <c r="I64" s="2" t="n"/>
      <c r="J64" s="2" t="n"/>
      <c r="K64" s="2" t="n"/>
      <c r="L64" s="2" t="n"/>
      <c r="M64" s="2" t="n"/>
    </row>
    <row r="65">
      <c r="A65" s="2" t="n">
        <v>64</v>
      </c>
      <c r="B65" s="2" t="inlineStr">
        <is>
          <t>PW-06</t>
        </is>
      </c>
      <c r="C65" s="2" t="inlineStr">
        <is>
          <t>电源</t>
        </is>
      </c>
      <c r="D65" s="2" t="inlineStr">
        <is>
          <t>总线末端压降</t>
        </is>
      </c>
      <c r="E65" s="2" t="inlineStr">
        <is>
          <t>P1</t>
        </is>
      </c>
      <c r="F65" s="2" t="inlineStr">
        <is>
          <t>6.13.2.4</t>
        </is>
      </c>
      <c r="G65" s="2" t="inlineStr">
        <is>
          <t>回路接 1 000 m、1.0 mm² 铜绞线，末端接 10 只探测器；187/220/242 V 下使末端 10 只全部报警</t>
        </is>
      </c>
      <c r="H65" s="2" t="inlineStr">
        <is>
          <t>末端探测器正常报警、确认灯及信号收发正常</t>
        </is>
      </c>
      <c r="I65" s="2" t="n"/>
      <c r="J65" s="2" t="n"/>
      <c r="K65" s="2" t="n"/>
      <c r="L65" s="2" t="n"/>
      <c r="M65" s="2" t="n"/>
    </row>
    <row r="66">
      <c r="A66" s="2" t="n">
        <v>65</v>
      </c>
      <c r="B66" s="2" t="inlineStr">
        <is>
          <t>PW-07</t>
        </is>
      </c>
      <c r="C66" s="2" t="inlineStr">
        <is>
          <t>电源</t>
        </is>
      </c>
      <c r="D66" s="2" t="inlineStr">
        <is>
          <t>备电显示与分段保护</t>
        </is>
      </c>
      <c r="E66" s="2" t="inlineStr">
        <is>
          <t>P1</t>
        </is>
      </c>
      <c r="F66" s="2" t="inlineStr">
        <is>
          <t>5.3.7.4</t>
        </is>
      </c>
      <c r="G66" s="2" t="inlineStr">
        <is>
          <t>检查备电电压/电量显示；使某段电压降至 &lt;90% 额定</t>
        </is>
      </c>
      <c r="H66" s="2" t="inlineStr">
        <is>
          <t>显示备电电压和电量；串接电池组额定 ≤12 V 时分段保护并显示每段电压（每段 ≤13 V）；任一段 &lt;90% 额定→故障声光并指示部位</t>
        </is>
      </c>
      <c r="I66" s="2" t="n"/>
      <c r="J66" s="2" t="n"/>
      <c r="K66" s="2" t="n"/>
      <c r="L66" s="2" t="n"/>
      <c r="M66" s="2" t="n"/>
    </row>
    <row r="67">
      <c r="A67" s="2" t="n">
        <v>66</v>
      </c>
      <c r="B67" s="2" t="inlineStr">
        <is>
          <t>PW-08</t>
        </is>
      </c>
      <c r="C67" s="2" t="inlineStr">
        <is>
          <t>电源</t>
        </is>
      </c>
      <c r="D67" s="2" t="inlineStr">
        <is>
          <t>备电电池选型检查</t>
        </is>
      </c>
      <c r="E67" s="2" t="inlineStr">
        <is>
          <t>P0（设计检查）</t>
        </is>
      </c>
      <c r="F67" s="2" t="inlineStr">
        <is>
          <t>5.3.7.3</t>
        </is>
      </c>
      <c r="G67" s="2" t="inlineStr">
        <is>
          <t>核对电池化学体系</t>
        </is>
      </c>
      <c r="H67" s="2" t="inlineStr">
        <is>
          <t>禁用钴酸锂、三元锂及其他含钴锂电池</t>
        </is>
      </c>
      <c r="I67" s="2" t="n"/>
      <c r="J67" s="2" t="n"/>
      <c r="K67" s="2" t="n"/>
      <c r="L67" s="2" t="n"/>
      <c r="M67" s="2" t="n"/>
    </row>
    <row r="68">
      <c r="A68" s="2" t="n">
        <v>67</v>
      </c>
      <c r="B68" s="2" t="inlineStr">
        <is>
          <t>WD-01</t>
        </is>
      </c>
      <c r="C68" s="2" t="inlineStr">
        <is>
          <t>看门狗</t>
        </is>
      </c>
      <c r="D68" s="2" t="inlineStr">
        <is>
          <t>看门狗系统故障</t>
        </is>
      </c>
      <c r="E68" s="2" t="inlineStr">
        <is>
          <t>P0</t>
        </is>
      </c>
      <c r="F68" s="2" t="inlineStr">
        <is>
          <t>5.4.12.1 ↔ 6.14.2</t>
        </is>
      </c>
      <c r="G68" s="2" t="inlineStr">
        <is>
          <t>操作"模拟 MCU 不能正常运行装置"使主程序停摆，计时</t>
        </is>
      </c>
      <c r="H68" s="2" t="inlineStr">
        <is>
          <t>≤100 s 发出系统故障信号、点亮单独的系统故障灯、进入异常状态（不发火警、不启动输出、不上传 CRT）</t>
        </is>
      </c>
      <c r="I68" s="2" t="n"/>
      <c r="J68" s="2" t="n"/>
      <c r="K68" s="2" t="n"/>
      <c r="L68" s="2" t="n"/>
      <c r="M68" s="2" t="n"/>
    </row>
    <row r="69">
      <c r="A69" s="2" t="n">
        <v>68</v>
      </c>
      <c r="B69" s="2" t="inlineStr">
        <is>
          <t>WD-02</t>
        </is>
      </c>
      <c r="C69" s="2" t="inlineStr">
        <is>
          <t>看门狗</t>
        </is>
      </c>
      <c r="D69" s="2" t="inlineStr">
        <is>
          <t>存储器出错检测</t>
        </is>
      </c>
      <c r="E69" s="2" t="inlineStr">
        <is>
          <t>P0</t>
        </is>
      </c>
      <c r="F69" s="2" t="inlineStr">
        <is>
          <t>5.4.12.1 ↔ 6.14.3</t>
        </is>
      </c>
      <c r="G69" s="2" t="inlineStr">
        <is>
          <t>使程序区/指定数据区内容出错</t>
        </is>
      </c>
      <c r="H69" s="2" t="inlineStr">
        <is>
          <t>同 WD-01 判定</t>
        </is>
      </c>
      <c r="I69" s="2" t="n"/>
      <c r="J69" s="2" t="n"/>
      <c r="K69" s="2" t="n"/>
      <c r="L69" s="2" t="n"/>
      <c r="M69" s="2" t="n"/>
    </row>
    <row r="70">
      <c r="A70" s="2" t="n">
        <v>69</v>
      </c>
      <c r="B70" s="2" t="inlineStr">
        <is>
          <t>WD-03</t>
        </is>
      </c>
      <c r="C70" s="2" t="inlineStr">
        <is>
          <t>看门狗</t>
        </is>
      </c>
      <c r="D70" s="2" t="inlineStr">
        <is>
          <t>数据输入防意外执行</t>
        </is>
      </c>
      <c r="E70" s="2" t="inlineStr">
        <is>
          <t>P0</t>
        </is>
      </c>
      <c r="F70" s="2" t="inlineStr">
        <is>
          <t>5.4.12.2 ↔ 6.14.4</t>
        </is>
      </c>
      <c r="G70" s="2" t="inlineStr">
        <is>
          <t>各状态下手动/程序输入数据</t>
        </is>
      </c>
      <c r="H70" s="2" t="inlineStr">
        <is>
          <t>不引起程序意外执行</t>
        </is>
      </c>
      <c r="I70" s="2" t="n"/>
      <c r="J70" s="2" t="n"/>
      <c r="K70" s="2" t="n"/>
      <c r="L70" s="2" t="n"/>
      <c r="M70" s="2" t="n"/>
    </row>
    <row r="71">
      <c r="A71" s="2" t="n">
        <v>70</v>
      </c>
      <c r="B71" s="2" t="inlineStr">
        <is>
          <t>WD-04</t>
        </is>
      </c>
      <c r="C71" s="2" t="inlineStr">
        <is>
          <t>看门狗</t>
        </is>
      </c>
      <c r="D71" s="2" t="inlineStr">
        <is>
          <t>探测器确认灯</t>
        </is>
      </c>
      <c r="E71" s="2" t="inlineStr">
        <is>
          <t>P1</t>
        </is>
      </c>
      <c r="F71" s="2" t="inlineStr">
        <is>
          <t>5.4.12.3 ↔ 6.14.5</t>
        </is>
      </c>
      <c r="G71" s="2" t="inlineStr">
        <is>
          <t>使探测器报警观察确认灯</t>
        </is>
      </c>
      <c r="H71" s="2" t="inlineStr">
        <is>
          <t>发火警同时启动确认灯；常亮且与监视状态有明显区别</t>
        </is>
      </c>
      <c r="I71" s="2" t="n"/>
      <c r="J71" s="2" t="n"/>
      <c r="K71" s="2" t="n"/>
      <c r="L71" s="2" t="n"/>
      <c r="M71" s="2" t="n"/>
    </row>
    <row r="72">
      <c r="A72" s="2" t="n">
        <v>71</v>
      </c>
      <c r="B72" s="2" t="inlineStr">
        <is>
          <t>CM-01</t>
        </is>
      </c>
      <c r="C72" s="2" t="inlineStr">
        <is>
          <t>通信</t>
        </is>
      </c>
      <c r="D72" s="2" t="inlineStr">
        <is>
          <t>接口形态</t>
        </is>
      </c>
      <c r="E72" s="2" t="inlineStr">
        <is>
          <t>P0</t>
        </is>
      </c>
      <c r="F72" s="2" t="inlineStr">
        <is>
          <t>5.4.10.1</t>
        </is>
      </c>
      <c r="G72" s="2" t="inlineStr">
        <is>
          <t>检查物理接口</t>
        </is>
      </c>
      <c r="H72" s="2" t="inlineStr">
        <is>
          <t>RS485 / CAN / 以太网至少一种；有防脱落措施；以太网需有防外网侵入措施</t>
        </is>
      </c>
      <c r="I72" s="2" t="n"/>
      <c r="J72" s="2" t="n"/>
      <c r="K72" s="2" t="n"/>
      <c r="L72" s="2" t="n"/>
      <c r="M72" s="2" t="n"/>
    </row>
    <row r="73">
      <c r="A73" s="2" t="n">
        <v>72</v>
      </c>
      <c r="B73" s="2" t="inlineStr">
        <is>
          <t>CM-02</t>
        </is>
      </c>
      <c r="C73" s="2" t="inlineStr">
        <is>
          <t>通信</t>
        </is>
      </c>
      <c r="D73" s="2" t="inlineStr">
        <is>
          <t>五类信息上报</t>
        </is>
      </c>
      <c r="E73" s="2" t="inlineStr">
        <is>
          <t>P0</t>
        </is>
      </c>
      <c r="F73" s="2" t="inlineStr">
        <is>
          <t>5.4.10.2 ↔ 6.12.3～6.12.7</t>
        </is>
      </c>
      <c r="G73" s="2" t="inlineStr">
        <is>
          <t>分别触发火警、监管、联动（启动/反馈）、屏蔽、故障（含 5.4.3.3 a～c 与 5.4.3.4 a～c 各类）并在 CRT 端抓包比对</t>
        </is>
      </c>
      <c r="H73" s="2" t="inlineStr">
        <is>
          <t>上报信息含类别、名称、部位、位置、时间、工作状态（含故障恢复状态）；内容与本机状态一致</t>
        </is>
      </c>
      <c r="I73" s="2" t="n"/>
      <c r="J73" s="2" t="n"/>
      <c r="K73" s="2" t="n"/>
      <c r="L73" s="2" t="n"/>
      <c r="M73" s="2" t="n"/>
    </row>
    <row r="74">
      <c r="A74" s="2" t="n">
        <v>73</v>
      </c>
      <c r="B74" s="2" t="inlineStr">
        <is>
          <t>CM-03</t>
        </is>
      </c>
      <c r="C74" s="2" t="inlineStr">
        <is>
          <t>通信</t>
        </is>
      </c>
      <c r="D74" s="2" t="inlineStr">
        <is>
          <t>授时接收</t>
        </is>
      </c>
      <c r="E74" s="2" t="inlineStr">
        <is>
          <t>P0</t>
        </is>
      </c>
      <c r="F74" s="2" t="inlineStr">
        <is>
          <t>5.4.10.3</t>
        </is>
      </c>
      <c r="G74" s="2" t="inlineStr">
        <is>
          <t>CRT 端下发授时</t>
        </is>
      </c>
      <c r="H74" s="2" t="inlineStr">
        <is>
          <t>控制器接收授时并校准时钟</t>
        </is>
      </c>
      <c r="I74" s="2" t="n"/>
      <c r="J74" s="2" t="n"/>
      <c r="K74" s="2" t="n"/>
      <c r="L74" s="2" t="n"/>
      <c r="M74" s="2" t="n"/>
    </row>
    <row r="75">
      <c r="A75" s="2" t="n">
        <v>74</v>
      </c>
      <c r="B75" s="2" t="inlineStr">
        <is>
          <t>CM-04</t>
        </is>
      </c>
      <c r="C75" s="2" t="inlineStr">
        <is>
          <t>通信</t>
        </is>
      </c>
      <c r="D75" s="2" t="inlineStr">
        <is>
          <t>协议一致性</t>
        </is>
      </c>
      <c r="E75" s="2" t="inlineStr">
        <is>
          <t>P0</t>
        </is>
      </c>
      <c r="F75" s="2" t="inlineStr">
        <is>
          <t>5.4.10.4 / 附录 C</t>
        </is>
      </c>
      <c r="G75" s="2" t="inlineStr">
        <is>
          <t>抓包核对帧结构</t>
        </is>
      </c>
      <c r="H75" s="2" t="inlineStr">
        <is>
          <t>符合附录 C（见 11.2）</t>
        </is>
      </c>
      <c r="I75" s="2" t="n"/>
      <c r="J75" s="2" t="n"/>
      <c r="K75" s="2" t="n"/>
      <c r="L75" s="2" t="n"/>
      <c r="M75" s="2" t="n"/>
    </row>
    <row r="76">
      <c r="A76" s="2" t="n">
        <v>75</v>
      </c>
      <c r="B76" s="2" t="inlineStr">
        <is>
          <t>CM-10</t>
        </is>
      </c>
      <c r="C76" s="2" t="inlineStr">
        <is>
          <t>通信</t>
        </is>
      </c>
      <c r="D76" s="2" t="inlineStr">
        <is>
          <t>帧格式</t>
        </is>
      </c>
      <c r="E76" s="2" t="inlineStr">
        <is>
          <t>P1</t>
        </is>
      </c>
      <c r="F76" s="2" t="inlineStr">
        <is>
          <t>C.4.1 / C.6</t>
        </is>
      </c>
      <c r="G76" s="2" t="inlineStr">
        <is>
          <t>抓包核对</t>
        </is>
      </c>
      <c r="H76" s="2" t="inlineStr">
        <is>
          <t>串行链路：起止符 0x7E、1起始+8数据+1停止无校验、波特率优先 4800/9600/19200；CRC16 多项式 0xA001 低字节在前；CAN：2.0B 29 bit ID、波特率优先 5/10/20/50/100 Kbit/s</t>
        </is>
      </c>
      <c r="I76" s="2" t="n"/>
      <c r="J76" s="2" t="n"/>
      <c r="K76" s="2" t="n"/>
      <c r="L76" s="2" t="n"/>
      <c r="M76" s="2" t="n"/>
    </row>
    <row r="77">
      <c r="A77" s="2" t="n">
        <v>76</v>
      </c>
      <c r="B77" s="2" t="inlineStr">
        <is>
          <t>CM-11</t>
        </is>
      </c>
      <c r="C77" s="2" t="inlineStr">
        <is>
          <t>通信</t>
        </is>
      </c>
      <c r="D77" s="2" t="inlineStr">
        <is>
          <t>地址与容量</t>
        </is>
      </c>
      <c r="E77" s="2" t="inlineStr">
        <is>
          <t>P1</t>
        </is>
      </c>
      <c r="F77" s="2" t="inlineStr">
        <is>
          <t>C.3.2.2 / C.7.2.2</t>
        </is>
      </c>
      <c r="G77" s="2" t="inlineStr">
        <is>
          <t>配置地址边界值</t>
        </is>
      </c>
      <c r="H77" s="2" t="inlineStr">
        <is>
          <t>主控节点地址=1；消防电气控制装置 2～63；0=广播；总数 ≤62</t>
        </is>
      </c>
      <c r="I77" s="2" t="n"/>
      <c r="J77" s="2" t="n"/>
      <c r="K77" s="2" t="n"/>
      <c r="L77" s="2" t="n"/>
      <c r="M77" s="2" t="n"/>
    </row>
    <row r="78">
      <c r="A78" s="2" t="n">
        <v>77</v>
      </c>
      <c r="B78" s="2" t="inlineStr">
        <is>
          <t>CM-12</t>
        </is>
      </c>
      <c r="C78" s="2" t="inlineStr">
        <is>
          <t>通信</t>
        </is>
      </c>
      <c r="D78" s="2" t="inlineStr">
        <is>
          <t>应答重发</t>
        </is>
      </c>
      <c r="E78" s="2" t="inlineStr">
        <is>
          <t>P1</t>
        </is>
      </c>
      <c r="F78" s="2" t="inlineStr">
        <is>
          <t>C.3.3</t>
        </is>
      </c>
      <c r="G78" s="2" t="inlineStr">
        <is>
          <t>屏蔽应答，观察重发</t>
        </is>
      </c>
      <c r="H78" s="2" t="inlineStr">
        <is>
          <t>1 s 未应答重发，≤3 次</t>
        </is>
      </c>
      <c r="I78" s="2" t="n"/>
      <c r="J78" s="2" t="n"/>
      <c r="K78" s="2" t="n"/>
      <c r="L78" s="2" t="n"/>
      <c r="M78" s="2" t="n"/>
    </row>
    <row r="79">
      <c r="A79" s="2" t="n">
        <v>78</v>
      </c>
      <c r="B79" s="2" t="inlineStr">
        <is>
          <t>CM-13</t>
        </is>
      </c>
      <c r="C79" s="2" t="inlineStr">
        <is>
          <t>通信</t>
        </is>
      </c>
      <c r="D79" s="2" t="inlineStr">
        <is>
          <t>建链流程</t>
        </is>
      </c>
      <c r="E79" s="2" t="inlineStr">
        <is>
          <t>P1</t>
        </is>
      </c>
      <c r="F79" s="2" t="inlineStr">
        <is>
          <t>C.6</t>
        </is>
      </c>
      <c r="G79" s="2" t="inlineStr">
        <is>
          <t>冷启动/断线重连抓包</t>
        </is>
      </c>
      <c r="H79" s="2" t="inlineStr">
        <is>
          <t>主机发功能码 44（查协议版本）→应答→发 41（查当前事件）→记录；中断重连同流程</t>
        </is>
      </c>
      <c r="I79" s="2" t="n"/>
      <c r="J79" s="2" t="n"/>
      <c r="K79" s="2" t="n"/>
      <c r="L79" s="2" t="n"/>
      <c r="M79" s="2" t="n"/>
    </row>
    <row r="80">
      <c r="A80" s="2" t="n">
        <v>79</v>
      </c>
      <c r="B80" s="2" t="inlineStr">
        <is>
          <t>CM-14</t>
        </is>
      </c>
      <c r="C80" s="2" t="inlineStr">
        <is>
          <t>通信</t>
        </is>
      </c>
      <c r="D80" s="2" t="inlineStr">
        <is>
          <t>状态应答码</t>
        </is>
      </c>
      <c r="E80" s="2" t="inlineStr">
        <is>
          <t>P1</t>
        </is>
      </c>
      <c r="F80" s="2" t="inlineStr">
        <is>
          <t>C.4.2.5</t>
        </is>
      </c>
      <c r="G80" s="2" t="inlineStr">
        <is>
          <t>构造 CRC 错、无效请求、地址不存在等异常帧</t>
        </is>
      </c>
      <c r="H80" s="2" t="inlineStr">
        <is>
          <t>应答码正确（1=CRC 错、2=无效服务、6=地址不存在、7=参数错误等）</t>
        </is>
      </c>
      <c r="I80" s="2" t="n"/>
      <c r="J80" s="2" t="n"/>
      <c r="K80" s="2" t="n"/>
      <c r="L80" s="2" t="n"/>
      <c r="M80" s="2" t="n"/>
    </row>
    <row r="81">
      <c r="A81" s="2" t="n">
        <v>80</v>
      </c>
      <c r="B81" s="2" t="inlineStr">
        <is>
          <t>CM-15</t>
        </is>
      </c>
      <c r="C81" s="2" t="inlineStr">
        <is>
          <t>通信</t>
        </is>
      </c>
      <c r="D81" s="2" t="inlineStr">
        <is>
          <t>事件/类型代码表与装置状态显示</t>
        </is>
      </c>
      <c r="E81" s="2" t="inlineStr">
        <is>
          <t>P1</t>
        </is>
      </c>
      <c r="F81" s="2" t="inlineStr">
        <is>
          <t>表 C.16/C.17/C.18；6.4.13</t>
        </is>
      </c>
      <c r="G81" s="2" t="inlineStr">
        <is>
          <t>对照抓包中设备类型、事件类型、状态位；将连接的消防电气控制装置分别置于手动/自动状态</t>
        </is>
      </c>
      <c r="H81" s="2" t="inlineStr">
        <is>
          <t>与代码表一致（如 2=首火警、3=火警、19=启动、26=反馈、122=复位；状态 bit0=手/自动等）；电气控制装置的手/自动状态在本机正确显示（6.4.13）</t>
        </is>
      </c>
      <c r="I81" s="2" t="n"/>
      <c r="J81" s="2" t="n"/>
      <c r="K81" s="2" t="n"/>
      <c r="L81" s="2" t="n"/>
      <c r="M81" s="2" t="n"/>
    </row>
    <row r="82">
      <c r="A82" s="2" t="n">
        <v>81</v>
      </c>
      <c r="B82" s="2" t="inlineStr">
        <is>
          <t>CM-16</t>
        </is>
      </c>
      <c r="C82" s="2" t="inlineStr">
        <is>
          <t>通信</t>
        </is>
      </c>
      <c r="D82" s="2" t="inlineStr">
        <is>
          <t>通信线独立性</t>
        </is>
      </c>
      <c r="E82" s="2" t="inlineStr">
        <is>
          <t>P0（设计检查）</t>
        </is>
      </c>
      <c r="F82" s="2" t="inlineStr">
        <is>
          <t>5.3.1.6</t>
        </is>
      </c>
      <c r="G82" s="2" t="inlineStr">
        <is>
          <t>检查布线设计</t>
        </is>
      </c>
      <c r="H82" s="2" t="inlineStr">
        <is>
          <t>FECbus 独立通信线路，不与报警总线/联动总线共用</t>
        </is>
      </c>
      <c r="I82" s="2" t="n"/>
      <c r="J82" s="2" t="n"/>
      <c r="K82" s="2" t="n"/>
      <c r="L82" s="2" t="n"/>
      <c r="M82" s="2" t="n"/>
    </row>
    <row r="83">
      <c r="A83" s="2" t="n">
        <v>82</v>
      </c>
      <c r="B83" s="2" t="inlineStr">
        <is>
          <t>CM-17</t>
        </is>
      </c>
      <c r="C83" s="2" t="inlineStr">
        <is>
          <t>通信</t>
        </is>
      </c>
      <c r="D83" s="2" t="inlineStr">
        <is>
          <t>通信线冗余</t>
        </is>
      </c>
      <c r="E83" s="2" t="inlineStr">
        <is>
          <t>P1</t>
        </is>
      </c>
      <c r="F83" s="2" t="inlineStr">
        <is>
          <t>C.3.2.3</t>
        </is>
      </c>
      <c r="G83" s="2" t="inlineStr">
        <is>
          <t>通信线任一点断路/短路</t>
        </is>
      </c>
      <c r="H83" s="2" t="inlineStr">
        <is>
          <t>控制器与消防电气控制装置仍能正常通信</t>
        </is>
      </c>
      <c r="I83" s="2" t="n"/>
      <c r="J83" s="2" t="n"/>
      <c r="K83" s="2" t="n"/>
      <c r="L83" s="2" t="n"/>
      <c r="M83" s="2" t="n"/>
    </row>
    <row r="84">
      <c r="A84" s="2" t="n">
        <v>83</v>
      </c>
      <c r="B84" s="2" t="inlineStr">
        <is>
          <t>DR-01</t>
        </is>
      </c>
      <c r="C84" s="2" t="inlineStr">
        <is>
          <t>存储单元(黑匣子)</t>
        </is>
      </c>
      <c r="D84" s="2" t="inlineStr">
        <is>
          <t>结构与防护</t>
        </is>
      </c>
      <c r="E84" s="2" t="inlineStr">
        <is>
          <t>P2</t>
        </is>
      </c>
      <c r="F84" s="2" t="inlineStr">
        <is>
          <t>5.3.9</t>
        </is>
      </c>
      <c r="G84" s="2" t="inlineStr">
        <is>
          <t>检查结构；防护试验</t>
        </is>
      </c>
      <c r="H84" s="2" t="inlineStr">
        <is>
          <t>独立可拆卸、金属外壳、≥IP54</t>
        </is>
      </c>
      <c r="I84" s="2" t="n"/>
      <c r="J84" s="2" t="n"/>
      <c r="K84" s="2" t="n"/>
      <c r="L84" s="2" t="n"/>
      <c r="M84" s="2" t="n"/>
    </row>
    <row r="85">
      <c r="A85" s="2" t="n">
        <v>84</v>
      </c>
      <c r="B85" s="2" t="inlineStr">
        <is>
          <t>DR-02</t>
        </is>
      </c>
      <c r="C85" s="2" t="inlineStr">
        <is>
          <t>存储单元(黑匣子)</t>
        </is>
      </c>
      <c r="D85" s="2" t="inlineStr">
        <is>
          <t>全事件记录</t>
        </is>
      </c>
      <c r="E85" s="2" t="inlineStr">
        <is>
          <t>P1</t>
        </is>
      </c>
      <c r="F85" s="2" t="inlineStr">
        <is>
          <t>B.1.1 ↔ B.2.2～B.2.5</t>
        </is>
      </c>
      <c r="G85" s="2" t="inlineStr">
        <is>
          <t>依次执行：报警+复位→开关机/复位/检查/调时→屏蔽→各类故障</t>
        </is>
      </c>
      <c r="H85" s="2" t="inlineStr">
        <is>
          <t>全部事件被记录，每条含年月日时分秒；按时间序可导出；防篡改/防删除</t>
        </is>
      </c>
      <c r="I85" s="2" t="n"/>
      <c r="J85" s="2" t="n"/>
      <c r="K85" s="2" t="n"/>
      <c r="L85" s="2" t="n"/>
      <c r="M85" s="2" t="n"/>
    </row>
    <row r="86">
      <c r="A86" s="2" t="n">
        <v>85</v>
      </c>
      <c r="B86" s="2" t="inlineStr">
        <is>
          <t>DR-03</t>
        </is>
      </c>
      <c r="C86" s="2" t="inlineStr">
        <is>
          <t>存储单元(黑匣子)</t>
        </is>
      </c>
      <c r="D86" s="2" t="inlineStr">
        <is>
          <t>容量与保存期</t>
        </is>
      </c>
      <c r="E86" s="2" t="inlineStr">
        <is>
          <t>P1</t>
        </is>
      </c>
      <c r="F86" s="2" t="inlineStr">
        <is>
          <t>B.1.2</t>
        </is>
      </c>
      <c r="G86" s="2" t="inlineStr">
        <is>
          <t>灌满容量后继续写入；断电 14 d</t>
        </is>
      </c>
      <c r="H86" s="2" t="inlineStr">
        <is>
          <t>火警记录 ≥触发器件数×100、运行状态 ≥(触发器件+联动设备)×200；≥30 d 运行信息；超容量保持最新；首火警/火警/故障独立记录不被覆盖；断电数据保持 ≥14 d</t>
        </is>
      </c>
      <c r="I86" s="2" t="n"/>
      <c r="J86" s="2" t="n"/>
      <c r="K86" s="2" t="n"/>
      <c r="L86" s="2" t="n"/>
      <c r="M86" s="2" t="n"/>
    </row>
    <row r="87">
      <c r="A87" s="2" t="n">
        <v>86</v>
      </c>
      <c r="B87" s="2" t="inlineStr">
        <is>
          <t>DR-04</t>
        </is>
      </c>
      <c r="C87" s="2" t="inlineStr">
        <is>
          <t>存储单元(黑匣子)</t>
        </is>
      </c>
      <c r="D87" s="2" t="inlineStr">
        <is>
          <t>导出协议</t>
        </is>
      </c>
      <c r="E87" s="2" t="inlineStr">
        <is>
          <t>P1</t>
        </is>
      </c>
      <c r="F87" s="2" t="inlineStr">
        <is>
          <t>B.1.3 / 表 B.1～B.4</t>
        </is>
      </c>
      <c r="G87" s="2" t="inlineStr">
        <is>
          <t>用专用工具经 USB 导出</t>
        </is>
      </c>
      <c r="H87" s="2" t="inlineStr">
        <is>
          <t>USB B 或 C 母口、USB 2.0 Device 模式；帧起止符 0x40、CRC16 0xA001、工具地址 0x7E、类型 0x7F、版本号 2；导出格式=存储格式；需授权</t>
        </is>
      </c>
      <c r="I87" s="2" t="n"/>
      <c r="J87" s="2" t="n"/>
      <c r="K87" s="2" t="n"/>
      <c r="L87" s="2" t="n"/>
      <c r="M87" s="2" t="n"/>
    </row>
    <row r="88">
      <c r="A88" s="2" t="n">
        <v>87</v>
      </c>
      <c r="B88" s="2" t="inlineStr">
        <is>
          <t>DR-05</t>
        </is>
      </c>
      <c r="C88" s="2" t="inlineStr">
        <is>
          <t>存储单元(黑匣子)</t>
        </is>
      </c>
      <c r="D88" s="2" t="inlineStr">
        <is>
          <t>反压耐受</t>
        </is>
      </c>
      <c r="E88" s="2" t="inlineStr">
        <is>
          <t>P2</t>
        </is>
      </c>
      <c r="F88" s="2" t="inlineStr">
        <is>
          <t>B.1.4.3 ↔ B.2.7</t>
        </is>
      </c>
      <c r="G88" s="2" t="inlineStr">
        <is>
          <t>施加 120% 标称电压反向 1 min 后复测</t>
        </is>
      </c>
      <c r="H88" s="2" t="inlineStr">
        <is>
          <t>记录、存储、导出功能正常</t>
        </is>
      </c>
      <c r="I88" s="2" t="n"/>
      <c r="J88" s="2" t="n"/>
      <c r="K88" s="2" t="n"/>
      <c r="L88" s="2" t="n"/>
      <c r="M88" s="2" t="n"/>
    </row>
    <row r="89">
      <c r="A89" s="2" t="n">
        <v>88</v>
      </c>
      <c r="B89" s="2" t="inlineStr">
        <is>
          <t>OP-01</t>
        </is>
      </c>
      <c r="C89" s="2" t="inlineStr">
        <is>
          <t>操作级别</t>
        </is>
      </c>
      <c r="D89" s="2" t="inlineStr">
        <is>
          <t>Ⅰ 级边界</t>
        </is>
      </c>
      <c r="E89" s="2" t="inlineStr">
        <is>
          <t>P1</t>
        </is>
      </c>
      <c r="F89" s="2" t="inlineStr">
        <is>
          <t>5.4.13 表1 / 5.4.14</t>
        </is>
      </c>
      <c r="G89" s="2" t="inlineStr">
        <is>
          <t>不登录状态下逐项尝试全部操作</t>
        </is>
      </c>
      <c r="H89" s="2" t="inlineStr">
        <is>
          <t>仅查询/消音/检查/信息确认/联动启动可用（O 项按产品定义）；复位、手动启动、屏蔽、手自动转换等全部拒绝</t>
        </is>
      </c>
      <c r="I89" s="2" t="n"/>
      <c r="J89" s="2" t="n"/>
      <c r="K89" s="2" t="n"/>
      <c r="L89" s="2" t="n"/>
      <c r="M89" s="2" t="n"/>
    </row>
    <row r="90">
      <c r="A90" s="2" t="n">
        <v>89</v>
      </c>
      <c r="B90" s="2" t="inlineStr">
        <is>
          <t>OP-02</t>
        </is>
      </c>
      <c r="C90" s="2" t="inlineStr">
        <is>
          <t>操作级别</t>
        </is>
      </c>
      <c r="D90" s="2" t="inlineStr">
        <is>
          <t>Ⅱ 级边界</t>
        </is>
      </c>
      <c r="E90" s="2" t="inlineStr">
        <is>
          <t>P1</t>
        </is>
      </c>
      <c r="F90" s="2" t="inlineStr">
        <is>
          <t>5.4.13 表1 / 5.4.14</t>
        </is>
      </c>
      <c r="G90" s="2" t="inlineStr">
        <is>
          <t>Ⅱ 级钥匙/密码登录逐项尝试</t>
        </is>
      </c>
      <c r="H90" s="2" t="inlineStr">
        <is>
          <t>复位、手动直接启动输出、自检、调时、主备电操作、手自动转换可用；输入/更改数据、分区编程、延时设置拒绝</t>
        </is>
      </c>
      <c r="I90" s="2" t="n"/>
      <c r="J90" s="2" t="n"/>
      <c r="K90" s="2" t="n"/>
      <c r="L90" s="2" t="n"/>
      <c r="M90" s="2" t="n"/>
    </row>
    <row r="91">
      <c r="A91" s="2" t="n">
        <v>90</v>
      </c>
      <c r="B91" s="2" t="inlineStr">
        <is>
          <t>OP-03</t>
        </is>
      </c>
      <c r="C91" s="2" t="inlineStr">
        <is>
          <t>操作级别</t>
        </is>
      </c>
      <c r="D91" s="2" t="inlineStr">
        <is>
          <t>Ⅲ 级边界与密钥单向性</t>
        </is>
      </c>
      <c r="E91" s="2" t="inlineStr">
        <is>
          <t>P1</t>
        </is>
      </c>
      <c r="F91" s="2" t="inlineStr">
        <is>
          <t>5.4.13 表1 / 5.4.14</t>
        </is>
      </c>
      <c r="G91" s="2" t="inlineStr">
        <is>
          <t>Ⅲ 级登录逐项尝试；用 Ⅱ 级密钥尝试进 Ⅲ 级</t>
        </is>
      </c>
      <c r="H91" s="2" t="inlineStr">
        <is>
          <t>编程/延时设置/数据修改可用；软硬件修改、数据导出回放、调试状态拒绝；Ⅲ 级钥匙可进 Ⅱ 级，Ⅱ 级钥匙不能进 Ⅲ 级</t>
        </is>
      </c>
      <c r="I91" s="2" t="n"/>
      <c r="J91" s="2" t="n"/>
      <c r="K91" s="2" t="n"/>
      <c r="L91" s="2" t="n"/>
      <c r="M91" s="2" t="n"/>
    </row>
    <row r="92">
      <c r="A92" s="2" t="n">
        <v>91</v>
      </c>
      <c r="B92" s="2" t="inlineStr">
        <is>
          <t>OP-04</t>
        </is>
      </c>
      <c r="C92" s="2" t="inlineStr">
        <is>
          <t>操作级别</t>
        </is>
      </c>
      <c r="D92" s="2" t="inlineStr">
        <is>
          <t>Ⅳ 级隔离</t>
        </is>
      </c>
      <c r="E92" s="2" t="inlineStr">
        <is>
          <t>P1</t>
        </is>
      </c>
      <c r="F92" s="2" t="inlineStr">
        <is>
          <t>5.4.13 表1 / 5.4.14</t>
        </is>
      </c>
      <c r="G92" s="2" t="inlineStr">
        <is>
          <t>尝试从控制器本机修改软硬件/导出数据/进调试</t>
        </is>
      </c>
      <c r="H92" s="2" t="inlineStr">
        <is>
          <t>Ⅳ 级操作不能通过控制器本身进行</t>
        </is>
      </c>
      <c r="I92" s="2" t="n"/>
      <c r="J92" s="2" t="n"/>
      <c r="K92" s="2" t="n"/>
      <c r="L92" s="2" t="n"/>
      <c r="M92" s="2" t="n"/>
    </row>
    <row r="93">
      <c r="A93" s="2" t="n">
        <v>92</v>
      </c>
      <c r="B93" s="2" t="inlineStr">
        <is>
          <t>OP-05</t>
        </is>
      </c>
      <c r="C93" s="2" t="inlineStr">
        <is>
          <t>操作级别</t>
        </is>
      </c>
      <c r="D93" s="2" t="inlineStr">
        <is>
          <t>调试功能</t>
        </is>
      </c>
      <c r="E93" s="2" t="inlineStr">
        <is>
          <t>P1</t>
        </is>
      </c>
      <c r="F93" s="2" t="inlineStr">
        <is>
          <t>5.4.13 表1 / 5.4.14</t>
        </is>
      </c>
      <c r="G93" s="2" t="inlineStr">
        <is>
          <t>5.4.14：接入调试设备，触发火警与故障</t>
        </is>
      </c>
      <c r="H93" s="2" t="inlineStr">
        <is>
          <t>进入调试状态；可收火警/故障信息但不启动联动控制输出；调试态与正常态可区分，传出信息有区别标识</t>
        </is>
      </c>
      <c r="I93" s="2" t="n"/>
      <c r="J93" s="2" t="n"/>
      <c r="K93" s="2" t="n"/>
      <c r="L93" s="2" t="n"/>
      <c r="M93" s="2" t="n"/>
    </row>
    <row r="94">
      <c r="A94" s="2" t="n">
        <v>93</v>
      </c>
      <c r="B94" s="2" t="inlineStr">
        <is>
          <t>UI-01</t>
        </is>
      </c>
      <c r="C94" s="2" t="inlineStr">
        <is>
          <t>人机菜单(产品级)</t>
        </is>
      </c>
      <c r="D94" s="2" t="inlineStr">
        <is>
          <t>历史记录查询</t>
        </is>
      </c>
      <c r="E94" s="2" t="inlineStr">
        <is>
          <t>P1</t>
        </is>
      </c>
      <c r="F94" s="2" t="inlineStr">
        <is>
          <t>关联 DR-02/FA-11</t>
        </is>
      </c>
      <c r="G94" s="2" t="inlineStr">
        <is>
          <t>进入查询→历史记录；翻页浏览；断电重启后再查</t>
        </is>
      </c>
      <c r="H94" s="2" t="inlineStr">
        <is>
          <t>事件按时间序列出（火警/故障/操作各类），内容与黑匣子一致；断电重启后记录仍在</t>
        </is>
      </c>
      <c r="I94" s="2" t="n"/>
      <c r="J94" s="2" t="n"/>
      <c r="K94" s="2" t="n"/>
      <c r="L94" s="2" t="n"/>
      <c r="M94" s="2" t="n"/>
    </row>
    <row r="95">
      <c r="A95" s="2" t="n">
        <v>94</v>
      </c>
      <c r="B95" s="2" t="inlineStr">
        <is>
          <t>UI-02</t>
        </is>
      </c>
      <c r="C95" s="2" t="inlineStr">
        <is>
          <t>人机菜单(产品级)</t>
        </is>
      </c>
      <c r="D95" s="2" t="inlineStr">
        <is>
          <t>控制器信息</t>
        </is>
      </c>
      <c r="E95" s="2" t="inlineStr">
        <is>
          <t>P1</t>
        </is>
      </c>
      <c r="F95" s="2" t="inlineStr">
        <is>
          <t>第 8 章标志</t>
        </is>
      </c>
      <c r="G95" s="2" t="inlineStr">
        <is>
          <t>查看型号/软件版本/容量/地址</t>
        </is>
      </c>
      <c r="H95" s="2" t="inlineStr">
        <is>
          <t>与铭牌、说明书声明一致（软件版本号须与标志一致）</t>
        </is>
      </c>
      <c r="I95" s="2" t="n"/>
      <c r="J95" s="2" t="n"/>
      <c r="K95" s="2" t="n"/>
      <c r="L95" s="2" t="n"/>
      <c r="M95" s="2" t="n"/>
    </row>
    <row r="96">
      <c r="A96" s="2" t="n">
        <v>95</v>
      </c>
      <c r="B96" s="2" t="inlineStr">
        <is>
          <t>UI-03</t>
        </is>
      </c>
      <c r="C96" s="2" t="inlineStr">
        <is>
          <t>人机菜单(产品级)</t>
        </is>
      </c>
      <c r="D96" s="2" t="inlineStr">
        <is>
          <t>设备总览</t>
        </is>
      </c>
      <c r="E96" s="2" t="inlineStr">
        <is>
          <t>P1</t>
        </is>
      </c>
      <c r="F96" s="2" t="inlineStr">
        <is>
          <t>—</t>
        </is>
      </c>
      <c r="G96" s="2" t="inlineStr">
        <is>
          <t>列出点表全部设备</t>
        </is>
      </c>
      <c r="H96" s="2" t="inlineStr">
        <is>
          <t>设备数与点表一致；在线/报警/故障/屏蔽状态实时准确</t>
        </is>
      </c>
      <c r="I96" s="2" t="n"/>
      <c r="J96" s="2" t="n"/>
      <c r="K96" s="2" t="n"/>
      <c r="L96" s="2" t="n"/>
      <c r="M96" s="2" t="n"/>
    </row>
    <row r="97">
      <c r="A97" s="2" t="n">
        <v>96</v>
      </c>
      <c r="B97" s="2" t="inlineStr">
        <is>
          <t>UI-04</t>
        </is>
      </c>
      <c r="C97" s="2" t="inlineStr">
        <is>
          <t>人机菜单(产品级)</t>
        </is>
      </c>
      <c r="D97" s="2" t="inlineStr">
        <is>
          <t>单点查询</t>
        </is>
      </c>
      <c r="E97" s="2" t="inlineStr">
        <is>
          <t>P1</t>
        </is>
      </c>
      <c r="F97" s="2" t="inlineStr">
        <is>
          <t>关联 FA-12</t>
        </is>
      </c>
      <c r="G97" s="2" t="inlineStr">
        <is>
          <t>选任一部位查看详情</t>
        </is>
      </c>
      <c r="H97" s="2" t="inlineStr">
        <is>
          <t>类型/状态/注释准确；若支持阈值调节则显示当前设定值（设置界面外可查）</t>
        </is>
      </c>
      <c r="I97" s="2" t="n"/>
      <c r="J97" s="2" t="n"/>
      <c r="K97" s="2" t="n"/>
      <c r="L97" s="2" t="n"/>
      <c r="M97" s="2" t="n"/>
    </row>
    <row r="98">
      <c r="A98" s="2" t="n">
        <v>97</v>
      </c>
      <c r="B98" s="2" t="inlineStr">
        <is>
          <t>UI-05</t>
        </is>
      </c>
      <c r="C98" s="2" t="inlineStr">
        <is>
          <t>人机菜单(产品级)</t>
        </is>
      </c>
      <c r="D98" s="2" t="inlineStr">
        <is>
          <t>级联从机</t>
        </is>
      </c>
      <c r="E98" s="2" t="inlineStr">
        <is>
          <t>△形态</t>
        </is>
      </c>
      <c r="F98" s="2" t="inlineStr">
        <is>
          <t>5.4.8</t>
        </is>
      </c>
      <c r="G98" s="2" t="inlineStr">
        <is>
          <t>组网信息显示</t>
        </is>
      </c>
      <c r="H98" s="2" t="inlineStr">
        <is>
          <t>独立型形态下应显示"无从机/未组网"；做组网时随 6.10 用例组补充</t>
        </is>
      </c>
      <c r="I98" s="2" t="n"/>
      <c r="J98" s="2" t="n"/>
      <c r="K98" s="2" t="n"/>
      <c r="L98" s="2" t="n"/>
      <c r="M98" s="2" t="n"/>
    </row>
    <row r="99">
      <c r="A99" s="2" t="n">
        <v>98</v>
      </c>
      <c r="B99" s="2" t="inlineStr">
        <is>
          <t>UI-06</t>
        </is>
      </c>
      <c r="C99" s="2" t="inlineStr">
        <is>
          <t>人机菜单(产品级)</t>
        </is>
      </c>
      <c r="D99" s="2" t="inlineStr">
        <is>
          <t>检查信息</t>
        </is>
      </c>
      <c r="E99" s="2" t="inlineStr">
        <is>
          <t>P1</t>
        </is>
      </c>
      <c r="F99" s="2" t="inlineStr">
        <is>
          <t>关联 CK-01</t>
        </is>
      </c>
      <c r="G99" s="2" t="inlineStr">
        <is>
          <t>菜单入口进入检查功能</t>
        </is>
      </c>
      <c r="H99" s="2" t="inlineStr">
        <is>
          <t>四总数（设计/正常/故障/屏蔽）正确；入口不受操作级别限制（5.4.9.1 豁免同样适用于菜单路径）</t>
        </is>
      </c>
      <c r="I99" s="2" t="n"/>
      <c r="J99" s="2" t="n"/>
      <c r="K99" s="2" t="n"/>
      <c r="L99" s="2" t="n"/>
      <c r="M99" s="2" t="n"/>
    </row>
    <row r="100">
      <c r="A100" s="2" t="n">
        <v>99</v>
      </c>
      <c r="B100" s="2" t="inlineStr">
        <is>
          <t>UI-07</t>
        </is>
      </c>
      <c r="C100" s="2" t="inlineStr">
        <is>
          <t>人机菜单(产品级)</t>
        </is>
      </c>
      <c r="D100" s="2" t="inlineStr">
        <is>
          <t>节点设备监控</t>
        </is>
      </c>
      <c r="E100" s="2" t="inlineStr">
        <is>
          <t>P1</t>
        </is>
      </c>
      <c r="F100" s="2" t="inlineStr">
        <is>
          <t>—</t>
        </is>
      </c>
      <c r="G100" s="2" t="inlineStr">
        <is>
          <t>实时监视页面开着，使某设备状态变化（报警/故障/恢复）</t>
        </is>
      </c>
      <c r="H100" s="2" t="inlineStr">
        <is>
          <t>页面刷新及时反映，且监视页面开着不影响报警声光与联动（任何界面停留都不阻断报警，FA-13 语义）</t>
        </is>
      </c>
      <c r="I100" s="2" t="n"/>
      <c r="J100" s="2" t="n"/>
      <c r="K100" s="2" t="n"/>
      <c r="L100" s="2" t="n"/>
      <c r="M100" s="2" t="n"/>
    </row>
    <row r="101">
      <c r="A101" s="2" t="n">
        <v>100</v>
      </c>
      <c r="B101" s="2" t="inlineStr">
        <is>
          <t>UI-08</t>
        </is>
      </c>
      <c r="C101" s="2" t="inlineStr">
        <is>
          <t>人机菜单(产品级)</t>
        </is>
      </c>
      <c r="D101" s="2" t="inlineStr">
        <is>
          <t>通讯成功率</t>
        </is>
      </c>
      <c r="E101" s="2" t="inlineStr">
        <is>
          <t>P1</t>
        </is>
      </c>
      <c r="F101" s="2" t="inlineStr">
        <is>
          <t>企标特色·关联 FT-11</t>
        </is>
      </c>
      <c r="G101" s="2" t="inlineStr">
        <is>
          <t>查看总线通信统计；用线间并电阻制造误码</t>
        </is>
      </c>
      <c r="H101" s="2" t="inlineStr">
        <is>
          <t>正常时成功率稳定；制造干扰后数值可观察地下降（该页是判断 d) 类隐患的运维工具）</t>
        </is>
      </c>
      <c r="I101" s="2" t="n"/>
      <c r="J101" s="2" t="n"/>
      <c r="K101" s="2" t="n"/>
      <c r="L101" s="2" t="n"/>
      <c r="M101" s="2" t="n"/>
    </row>
    <row r="102">
      <c r="A102" s="2" t="n">
        <v>101</v>
      </c>
      <c r="B102" s="2" t="inlineStr">
        <is>
          <t>UI-09</t>
        </is>
      </c>
      <c r="C102" s="2" t="inlineStr">
        <is>
          <t>人机菜单(产品级)</t>
        </is>
      </c>
      <c r="D102" s="2" t="inlineStr">
        <is>
          <t>机内设备监控</t>
        </is>
      </c>
      <c r="E102" s="2" t="inlineStr">
        <is>
          <t>P1</t>
        </is>
      </c>
      <c r="F102" s="2" t="inlineStr">
        <is>
          <t>关联 PW-07</t>
        </is>
      </c>
      <c r="G102" s="2" t="inlineStr">
        <is>
          <t>查看主/备电电压、备电电量、充电状态</t>
        </is>
      </c>
      <c r="H102" s="2" t="inlineStr">
        <is>
          <t>与万用表实测一致（容差内）；备电分段电压可见</t>
        </is>
      </c>
      <c r="I102" s="2" t="n"/>
      <c r="J102" s="2" t="n"/>
      <c r="K102" s="2" t="n"/>
      <c r="L102" s="2" t="n"/>
      <c r="M102" s="2" t="n"/>
    </row>
    <row r="103">
      <c r="A103" s="2" t="n">
        <v>102</v>
      </c>
      <c r="B103" s="2" t="inlineStr">
        <is>
          <t>UI-10</t>
        </is>
      </c>
      <c r="C103" s="2" t="inlineStr">
        <is>
          <t>人机菜单(产品级)</t>
        </is>
      </c>
      <c r="D103" s="2" t="inlineStr">
        <is>
          <t>启停控制</t>
        </is>
      </c>
      <c r="E103" s="2" t="inlineStr">
        <is>
          <t>P1</t>
        </is>
      </c>
      <c r="F103" s="2" t="inlineStr">
        <is>
          <t>表 1 第 8 项</t>
        </is>
      </c>
      <c r="G103" s="2" t="inlineStr">
        <is>
          <t>Ⅰ 级态尝试菜单启停某设备；Ⅱ 级登录后再操作</t>
        </is>
      </c>
      <c r="H103" s="2" t="inlineStr">
        <is>
          <t>Ⅰ 级被拦；Ⅱ 级可启停，动作与黑匣子记录一致</t>
        </is>
      </c>
      <c r="I103" s="2" t="n"/>
      <c r="J103" s="2" t="n"/>
      <c r="K103" s="2" t="n"/>
      <c r="L103" s="2" t="n"/>
      <c r="M103" s="2" t="n"/>
    </row>
    <row r="104">
      <c r="A104" s="2" t="n">
        <v>103</v>
      </c>
      <c r="B104" s="2" t="inlineStr">
        <is>
          <t>UI-11</t>
        </is>
      </c>
      <c r="C104" s="2" t="inlineStr">
        <is>
          <t>人机菜单(产品级)</t>
        </is>
      </c>
      <c r="D104" s="2" t="inlineStr">
        <is>
          <t>屏蔽控制</t>
        </is>
      </c>
      <c r="E104" s="2" t="inlineStr">
        <is>
          <t>P1</t>
        </is>
      </c>
      <c r="F104" s="2" t="inlineStr">
        <is>
          <t>关联 SH-01</t>
        </is>
      </c>
      <c r="G104" s="2" t="inlineStr">
        <is>
          <t>菜单路径执行屏蔽/解除</t>
        </is>
      </c>
      <c r="H104" s="2" t="inlineStr">
        <is>
          <t>权限、每次 1 只、报警/故障中不可屏——SH-01 全部判据经菜单路径同样成立</t>
        </is>
      </c>
      <c r="I104" s="2" t="n"/>
      <c r="J104" s="2" t="n"/>
      <c r="K104" s="2" t="n"/>
      <c r="L104" s="2" t="n"/>
      <c r="M104" s="2" t="n"/>
    </row>
    <row r="105">
      <c r="A105" s="2" t="n">
        <v>104</v>
      </c>
      <c r="B105" s="2" t="inlineStr">
        <is>
          <t>UI-12</t>
        </is>
      </c>
      <c r="C105" s="2" t="inlineStr">
        <is>
          <t>人机菜单(产品级)</t>
        </is>
      </c>
      <c r="D105" s="2" t="inlineStr">
        <is>
          <t>用户登陆</t>
        </is>
      </c>
      <c r="E105" s="2" t="inlineStr">
        <is>
          <t>P1</t>
        </is>
      </c>
      <c r="F105" s="2" t="inlineStr">
        <is>
          <t>关联 OP-01/02</t>
        </is>
      </c>
      <c r="G105" s="2" t="inlineStr">
        <is>
          <t>正确/错误密码各试；登录后放置超时</t>
        </is>
      </c>
      <c r="H105" s="2" t="inlineStr">
        <is>
          <t>正确密码升级并显示当前级别（屏上"一级"图标变化）；错误拒绝；超时自动回落 Ⅰ 级</t>
        </is>
      </c>
      <c r="I105" s="2" t="n"/>
      <c r="J105" s="2" t="n"/>
      <c r="K105" s="2" t="n"/>
      <c r="L105" s="2" t="n"/>
      <c r="M105" s="2" t="n"/>
    </row>
    <row r="106">
      <c r="A106" s="2" t="n">
        <v>105</v>
      </c>
      <c r="B106" s="2" t="inlineStr">
        <is>
          <t>UI-13</t>
        </is>
      </c>
      <c r="C106" s="2" t="inlineStr">
        <is>
          <t>人机菜单(产品级)</t>
        </is>
      </c>
      <c r="D106" s="2" t="inlineStr">
        <is>
          <t>密码设置</t>
        </is>
      </c>
      <c r="E106" s="2" t="inlineStr">
        <is>
          <t>P1</t>
        </is>
      </c>
      <c r="F106" s="2" t="inlineStr">
        <is>
          <t>关联 OP-03</t>
        </is>
      </c>
      <c r="G106" s="2" t="inlineStr">
        <is>
          <t>Ⅲ 级改各级密码；Ⅱ 级尝试改 Ⅲ 级密码</t>
        </is>
      </c>
      <c r="H106" s="2" t="inlineStr">
        <is>
          <t>Ⅲ 可改；Ⅱ 改 Ⅲ 被拦（密钥单向性）；修改事件进黑匣子</t>
        </is>
      </c>
      <c r="I106" s="2" t="n"/>
      <c r="J106" s="2" t="n"/>
      <c r="K106" s="2" t="n"/>
      <c r="L106" s="2" t="n"/>
      <c r="M106" s="2" t="n"/>
    </row>
    <row r="107">
      <c r="A107" s="2" t="n">
        <v>106</v>
      </c>
      <c r="B107" s="2" t="inlineStr">
        <is>
          <t>UI-14</t>
        </is>
      </c>
      <c r="C107" s="2" t="inlineStr">
        <is>
          <t>人机菜单(产品级)</t>
        </is>
      </c>
      <c r="D107" s="2" t="inlineStr">
        <is>
          <t>基础设置·时钟</t>
        </is>
      </c>
      <c r="E107" s="2" t="inlineStr">
        <is>
          <t>P1</t>
        </is>
      </c>
      <c r="F107" s="2" t="inlineStr">
        <is>
          <t>关联 FA-11</t>
        </is>
      </c>
      <c r="G107" s="2" t="inlineStr">
        <is>
          <t>调整时钟</t>
        </is>
      </c>
      <c r="H107" s="2" t="inlineStr">
        <is>
          <t>生效；黑匣子记录"调整时钟"事件（代码 131）；调后日误差仍 ≤6 s</t>
        </is>
      </c>
      <c r="I107" s="2" t="n"/>
      <c r="J107" s="2" t="n"/>
      <c r="K107" s="2" t="n"/>
      <c r="L107" s="2" t="n"/>
      <c r="M107" s="2" t="n"/>
    </row>
    <row r="108">
      <c r="A108" s="2" t="n">
        <v>107</v>
      </c>
      <c r="B108" s="2" t="inlineStr">
        <is>
          <t>UI-15</t>
        </is>
      </c>
      <c r="C108" s="2" t="inlineStr">
        <is>
          <t>人机菜单(产品级)</t>
        </is>
      </c>
      <c r="D108" s="2" t="inlineStr">
        <is>
          <t>联网设置</t>
        </is>
      </c>
      <c r="E108" s="2" t="inlineStr">
        <is>
          <t>P1</t>
        </is>
      </c>
      <c r="F108" s="2" t="inlineStr">
        <is>
          <t>关联 CM-01</t>
        </is>
      </c>
      <c r="G108" s="2" t="inlineStr">
        <is>
          <t>配置 CRT 通信参数</t>
        </is>
      </c>
      <c r="H108" s="2" t="inlineStr">
        <is>
          <t>参数生效可重连；以太网口防外网侵入措施在位</t>
        </is>
      </c>
      <c r="I108" s="2" t="n"/>
      <c r="J108" s="2" t="n"/>
      <c r="K108" s="2" t="n"/>
      <c r="L108" s="2" t="n"/>
      <c r="M108" s="2" t="n"/>
    </row>
    <row r="109">
      <c r="A109" s="2" t="n">
        <v>108</v>
      </c>
      <c r="B109" s="2" t="inlineStr">
        <is>
          <t>UI-16</t>
        </is>
      </c>
      <c r="C109" s="2" t="inlineStr">
        <is>
          <t>人机菜单(产品级)</t>
        </is>
      </c>
      <c r="D109" s="2" t="inlineStr">
        <is>
          <t>节点设置（点表编辑）</t>
        </is>
      </c>
      <c r="E109" s="2" t="inlineStr">
        <is>
          <t>P1</t>
        </is>
      </c>
      <c r="F109" s="2" t="inlineStr">
        <is>
          <t>关联 WD-03</t>
        </is>
      </c>
      <c r="G109" s="2" t="inlineStr">
        <is>
          <t>Ⅲ 级编辑部位注释/类型/确认方式；编辑中途使真火警发生</t>
        </is>
      </c>
      <c r="H109" s="2" t="inlineStr">
        <is>
          <t>编辑缓冲与运行配置分离、确认后原子生效；编辑过程中报警照常（输入不阻断报警）</t>
        </is>
      </c>
      <c r="I109" s="2" t="n"/>
      <c r="J109" s="2" t="n"/>
      <c r="K109" s="2" t="n"/>
      <c r="L109" s="2" t="n"/>
      <c r="M109" s="2" t="n"/>
    </row>
    <row r="110">
      <c r="A110" s="2" t="n">
        <v>109</v>
      </c>
      <c r="B110" s="2" t="inlineStr">
        <is>
          <t>UI-17</t>
        </is>
      </c>
      <c r="C110" s="2" t="inlineStr">
        <is>
          <t>人机菜单(产品级)</t>
        </is>
      </c>
      <c r="D110" s="2" t="inlineStr">
        <is>
          <t>操作模式设置</t>
        </is>
      </c>
      <c r="E110" s="2" t="inlineStr">
        <is>
          <t>⚠审查</t>
        </is>
      </c>
      <c r="F110" s="2" t="inlineStr">
        <is>
          <t>LC-03 红线</t>
        </is>
      </c>
      <c r="G110" s="2" t="inlineStr">
        <is>
          <t>先确认该菜单含义</t>
        </is>
      </c>
      <c r="H110" s="2" t="inlineStr">
        <is>
          <t>若含手/自动切换：不合规——5.4.2.2 强制自复位钥匙开关，菜单软切换不满足；若仅为显示/声音模式设置则按 P1 正常测</t>
        </is>
      </c>
      <c r="I110" s="2" t="n"/>
      <c r="J110" s="2" t="n"/>
      <c r="K110" s="2" t="n"/>
      <c r="L110" s="2" t="n"/>
      <c r="M110" s="2" t="n"/>
    </row>
    <row r="111">
      <c r="A111" s="2" t="n">
        <v>110</v>
      </c>
      <c r="B111" s="2" t="inlineStr">
        <is>
          <t>UI-18</t>
        </is>
      </c>
      <c r="C111" s="2" t="inlineStr">
        <is>
          <t>人机菜单(产品级)</t>
        </is>
      </c>
      <c r="D111" s="2" t="inlineStr">
        <is>
          <t>点位注册</t>
        </is>
      </c>
      <c r="E111" s="2" t="inlineStr">
        <is>
          <t>P1</t>
        </is>
      </c>
      <c r="F111" s="2" t="inlineStr">
        <is>
          <t>—</t>
        </is>
      </c>
      <c r="G111" s="2" t="inlineStr">
        <is>
          <t>注册新总线设备；故意注册重复地址</t>
        </is>
      </c>
      <c r="H111" s="2" t="inlineStr">
        <is>
          <t>正常注册入表；重复地址被检出拒绝</t>
        </is>
      </c>
      <c r="I111" s="2" t="n"/>
      <c r="J111" s="2" t="n"/>
      <c r="K111" s="2" t="n"/>
      <c r="L111" s="2" t="n"/>
      <c r="M111" s="2" t="n"/>
    </row>
    <row r="112">
      <c r="A112" s="2" t="n">
        <v>111</v>
      </c>
      <c r="B112" s="2" t="inlineStr">
        <is>
          <t>UI-19</t>
        </is>
      </c>
      <c r="C112" s="2" t="inlineStr">
        <is>
          <t>人机菜单(产品级)</t>
        </is>
      </c>
      <c r="D112" s="2" t="inlineStr">
        <is>
          <t>配置导入</t>
        </is>
      </c>
      <c r="E112" s="2" t="inlineStr">
        <is>
          <t>P1</t>
        </is>
      </c>
      <c r="F112" s="2" t="inlineStr">
        <is>
          <t>关联 WD-03</t>
        </is>
      </c>
      <c r="G112" s="2" t="inlineStr">
        <is>
          <t>导入合法配置；导入中断电；导入损坏文件</t>
        </is>
      </c>
      <c r="H112" s="2" t="inlineStr">
        <is>
          <t>导入前校验（版本/CRC）；原子生效——中断/损坏则完整回滚到旧配置，绝无半套配置；导入事件进黑匣子</t>
        </is>
      </c>
      <c r="I112" s="2" t="n"/>
      <c r="J112" s="2" t="n"/>
      <c r="K112" s="2" t="n"/>
      <c r="L112" s="2" t="n"/>
      <c r="M112" s="2" t="n"/>
    </row>
    <row r="113">
      <c r="A113" s="2" t="n">
        <v>112</v>
      </c>
      <c r="B113" s="2" t="inlineStr">
        <is>
          <t>UI-20</t>
        </is>
      </c>
      <c r="C113" s="2" t="inlineStr">
        <is>
          <t>人机菜单(产品级)</t>
        </is>
      </c>
      <c r="D113" s="2" t="inlineStr">
        <is>
          <t>联动编程</t>
        </is>
      </c>
      <c r="E113" s="2" t="inlineStr">
        <is>
          <t>P1</t>
        </is>
      </c>
      <c r="F113" s="2" t="inlineStr">
        <is>
          <t>关联联动逻辑</t>
        </is>
      </c>
      <c r="G113" s="2" t="inlineStr">
        <is>
          <t>Ⅲ 级编辑与/或逻辑；未按确认前触发火警</t>
        </is>
      </c>
      <c r="H113" s="2" t="inlineStr">
        <is>
          <t>未确认的编辑不生效（旧逻辑照常联动）；确认后新逻辑生效并记录</t>
        </is>
      </c>
      <c r="I113" s="2" t="n"/>
      <c r="J113" s="2" t="n"/>
      <c r="K113" s="2" t="n"/>
      <c r="L113" s="2" t="n"/>
      <c r="M113" s="2" t="n"/>
    </row>
    <row r="114">
      <c r="A114" s="2" t="n">
        <v>113</v>
      </c>
      <c r="B114" s="2" t="inlineStr">
        <is>
          <t>UI-21</t>
        </is>
      </c>
      <c r="C114" s="2" t="inlineStr">
        <is>
          <t>人机菜单(产品级)</t>
        </is>
      </c>
      <c r="D114" s="2" t="inlineStr">
        <is>
          <t>调试助手 / 直控调试</t>
        </is>
      </c>
      <c r="E114" s="2" t="inlineStr">
        <is>
          <t>⚠审查</t>
        </is>
      </c>
      <c r="F114" s="2" t="inlineStr">
        <is>
          <t>关联 OP-05 / 表 1 第 19 项</t>
        </is>
      </c>
      <c r="G114" s="2" t="inlineStr">
        <is>
          <t>进入调试功能收发信号</t>
        </is>
      </c>
      <c r="H114" s="2" t="inlineStr">
        <is>
          <t>调试态边界：可收火警/故障、不启动真实联动输出、状态可区分；⚠权限审查：表 1"进入调试状态"属 Ⅳ 级（不能经本机），屏上标注"调试：调试员"的权限设计需与认证口径核对</t>
        </is>
      </c>
      <c r="I114" s="2" t="n"/>
      <c r="J114" s="2" t="n"/>
      <c r="K114" s="2" t="n"/>
      <c r="L114" s="2" t="n"/>
      <c r="M114" s="2" t="n"/>
    </row>
    <row r="115">
      <c r="A115" s="2" t="n">
        <v>114</v>
      </c>
      <c r="B115" s="2" t="inlineStr">
        <is>
          <t>UI-22</t>
        </is>
      </c>
      <c r="C115" s="2" t="inlineStr">
        <is>
          <t>人机菜单(产品级)</t>
        </is>
      </c>
      <c r="D115" s="2" t="inlineStr">
        <is>
          <t>联网注册</t>
        </is>
      </c>
      <c r="E115" s="2" t="inlineStr">
        <is>
          <t>P1</t>
        </is>
      </c>
      <c r="F115" s="2" t="inlineStr">
        <is>
          <t>关联 CM 组</t>
        </is>
      </c>
      <c r="G115" s="2" t="inlineStr">
        <is>
          <t>向 CRT/上级注册</t>
        </is>
      </c>
      <c r="H115" s="2" t="inlineStr">
        <is>
          <t>注册流程完成，对端可见本机</t>
        </is>
      </c>
      <c r="I115" s="2" t="n"/>
      <c r="J115" s="2" t="n"/>
      <c r="K115" s="2" t="n"/>
      <c r="L115" s="2" t="n"/>
      <c r="M115" s="2" t="n"/>
    </row>
    <row r="116">
      <c r="A116" s="2" t="n">
        <v>115</v>
      </c>
      <c r="B116" s="2" t="inlineStr">
        <is>
          <t>UI-23</t>
        </is>
      </c>
      <c r="C116" s="2" t="inlineStr">
        <is>
          <t>人机菜单(产品级)</t>
        </is>
      </c>
      <c r="D116" s="2" t="inlineStr">
        <is>
          <t>固件升级</t>
        </is>
      </c>
      <c r="E116" s="2" t="inlineStr">
        <is>
          <t>⚠审查</t>
        </is>
      </c>
      <c r="F116" s="2" t="inlineStr">
        <is>
          <t>表 1 第 17 项</t>
        </is>
      </c>
      <c r="G116" s="2" t="inlineStr">
        <is>
          <t>审查升级路径设计</t>
        </is>
      </c>
      <c r="H116" s="2" t="inlineStr">
        <is>
          <t>⚠"修改软硬件"属 Ⅳ 级、不能通过控制器本身进行——菜单入口必须强制依赖外部专用手段（专用上位机/签名固件+专用工具），裸菜单升级不合规；升级前后版本进黑匣子；升级失败可回滚</t>
        </is>
      </c>
      <c r="I116" s="2" t="n"/>
      <c r="J116" s="2" t="n"/>
      <c r="K116" s="2" t="n"/>
      <c r="L116" s="2" t="n"/>
      <c r="M116" s="2" t="n"/>
    </row>
    <row r="117">
      <c r="A117" s="2" t="n">
        <v>116</v>
      </c>
      <c r="B117" s="2" t="inlineStr">
        <is>
          <t>UI-24</t>
        </is>
      </c>
      <c r="C117" s="2" t="inlineStr">
        <is>
          <t>人机菜单(产品级)</t>
        </is>
      </c>
      <c r="D117" s="2" t="inlineStr">
        <is>
          <t>记录导出</t>
        </is>
      </c>
      <c r="E117" s="2" t="inlineStr">
        <is>
          <t>P1</t>
        </is>
      </c>
      <c r="F117" s="2" t="inlineStr">
        <is>
          <t>关联 DR-04</t>
        </is>
      </c>
      <c r="G117" s="2" t="inlineStr">
        <is>
          <t>经 USB 导出运行记录</t>
        </is>
      </c>
      <c r="H117" s="2" t="inlineStr">
        <is>
          <t>附录 B 口径：专用工具+授权、B/C 型母口 Device 模式；导出不影响记录本体；导出行为进黑匣子</t>
        </is>
      </c>
      <c r="I117" s="2" t="n"/>
      <c r="J117" s="2" t="n"/>
      <c r="K117" s="2" t="n"/>
      <c r="L117" s="2" t="n"/>
      <c r="M117" s="2" t="n"/>
    </row>
    <row r="118">
      <c r="A118" s="2" t="n">
        <v>117</v>
      </c>
      <c r="B118" s="2" t="inlineStr">
        <is>
          <t>UI-25</t>
        </is>
      </c>
      <c r="C118" s="2" t="inlineStr">
        <is>
          <t>人机菜单(产品级)</t>
        </is>
      </c>
      <c r="D118" s="2" t="inlineStr">
        <is>
          <t>恢复出厂设置</t>
        </is>
      </c>
      <c r="E118" s="2" t="inlineStr">
        <is>
          <t>P1</t>
        </is>
      </c>
      <c r="F118" s="2" t="inlineStr">
        <is>
          <t>B.1.1.3</t>
        </is>
      </c>
      <c r="G118" s="2" t="inlineStr">
        <is>
          <t>高权限+二次确认执行；恢复后检查记录</t>
        </is>
      </c>
      <c r="H118" s="2" t="inlineStr">
        <is>
          <t>清运行配置；不得清除运行记录/黑匣子（防删除是附录 B 硬要求——恢复出厂也不许抹历史）；恢复操作本身进黑匣子；恢复后设备按说明书声明状态启动</t>
        </is>
      </c>
      <c r="I118" s="2" t="n"/>
      <c r="J118" s="2" t="n"/>
      <c r="K118" s="2" t="n"/>
      <c r="L118" s="2" t="n"/>
      <c r="M118" s="2" t="n"/>
    </row>
    <row r="119">
      <c r="A119" s="2" t="n">
        <v>118</v>
      </c>
      <c r="B119" s="2" t="inlineStr">
        <is>
          <t>GE-01</t>
        </is>
      </c>
      <c r="C119" s="2" t="inlineStr">
        <is>
          <t>气体灭火控制器</t>
        </is>
      </c>
      <c r="D119" s="2" t="inlineStr">
        <is>
          <t>禁止直收触发器件</t>
        </is>
      </c>
      <c r="E119" s="2" t="inlineStr">
        <is>
          <t>P0（设计红线）</t>
        </is>
      </c>
      <c r="F119" s="2" t="inlineStr">
        <is>
          <t>4.3.1.2</t>
        </is>
      </c>
      <c r="G119" s="2" t="inlineStr">
        <is>
          <t>设计检查 + 尝试将探测器/手报直接接入</t>
        </is>
      </c>
      <c r="H119" s="2" t="inlineStr">
        <is>
          <t>气灭控制器不应直接接收火灾报警触发器件的火灾报警信号（启动信号须来自消防联动控制器或现场启动按键）</t>
        </is>
      </c>
      <c r="I119" s="2" t="n"/>
      <c r="J119" s="2" t="n"/>
      <c r="K119" s="2" t="n"/>
      <c r="L119" s="2" t="n"/>
      <c r="M119" s="2" t="n"/>
    </row>
    <row r="120">
      <c r="A120" s="2" t="n">
        <v>119</v>
      </c>
      <c r="B120" s="2" t="inlineStr">
        <is>
          <t>GE-02</t>
        </is>
      </c>
      <c r="C120" s="2" t="inlineStr">
        <is>
          <t>气体灭火控制器</t>
        </is>
      </c>
      <c r="D120" s="2" t="inlineStr">
        <is>
          <t>启动控制全流程</t>
        </is>
      </c>
      <c r="E120" s="2" t="inlineStr">
        <is>
          <t>P0</t>
        </is>
      </c>
      <c r="F120" s="2" t="inlineStr">
        <is>
          <t>4.3.2.2 ↔ 5.3.1</t>
        </is>
      </c>
      <c r="G120" s="2" t="inlineStr">
        <is>
          <t>分别经联动控制器和现场启动按键输入启动控制信号，逐阶段观察并记录时间</t>
        </is>
      </c>
      <c r="H120" s="2" t="inlineStr">
        <is>
          <t>① 发出启动声光并记录时间（声可消，再有启动信号可再启动）；② 启动声光警报器；③ 进入延时：延时光指示+显示延时时间和保护区域+关闭防火门窗/防火阀+停通风空调；④ 延时结束发启动喷洒控制信号+光指示+启动喷洒光警报器；⑤ 喷洒阶段发出相应声光保持至复位并记录时间</t>
        </is>
      </c>
      <c r="I120" s="2" t="n"/>
      <c r="J120" s="2" t="n"/>
      <c r="K120" s="2" t="n"/>
      <c r="L120" s="2" t="n"/>
      <c r="M120" s="2" t="n"/>
    </row>
    <row r="121">
      <c r="A121" s="2" t="n">
        <v>120</v>
      </c>
      <c r="B121" s="2" t="inlineStr">
        <is>
          <t>GE-03</t>
        </is>
      </c>
      <c r="C121" s="2" t="inlineStr">
        <is>
          <t>气体灭火控制器</t>
        </is>
      </c>
      <c r="D121" s="2" t="inlineStr">
        <is>
          <t>延时设置与手动中止</t>
        </is>
      </c>
      <c r="E121" s="2" t="inlineStr">
        <is>
          <t>P0</t>
        </is>
      </c>
      <c r="F121" s="2" t="inlineStr">
        <is>
          <t>4.3.2.3 ↔ 5.3.1</t>
        </is>
      </c>
      <c r="G121" s="2" t="inlineStr">
        <is>
          <t>调整延时值；延时期间执行手动停止</t>
        </is>
      </c>
      <c r="H121" s="2" t="inlineStr">
        <is>
          <t>延时 0～30 s 可调；延时期间能手动停止后续动作</t>
        </is>
      </c>
      <c r="I121" s="2" t="n"/>
      <c r="J121" s="2" t="n"/>
      <c r="K121" s="2" t="n"/>
      <c r="L121" s="2" t="n"/>
      <c r="M121" s="2" t="n"/>
    </row>
    <row r="122">
      <c r="A122" s="2" t="n">
        <v>121</v>
      </c>
      <c r="B122" s="2" t="inlineStr">
        <is>
          <t>GE-04</t>
        </is>
      </c>
      <c r="C122" s="2" t="inlineStr">
        <is>
          <t>气体灭火控制器</t>
        </is>
      </c>
      <c r="D122" s="2" t="inlineStr">
        <is>
          <t>手/自动与优先级</t>
        </is>
      </c>
      <c r="E122" s="2" t="inlineStr">
        <is>
          <t>P0</t>
        </is>
      </c>
      <c r="F122" s="2" t="inlineStr">
        <is>
          <t>4.3.2.4 ↔ 5.3.1</t>
        </is>
      </c>
      <c r="G122" s="2" t="inlineStr">
        <is>
          <t>切换手/自动并复位；自动运行中手动插入；手动停止后再输入启动信号</t>
        </is>
      </c>
      <c r="H122" s="2" t="inlineStr">
        <is>
          <t>有控制状态指示，状态不受复位影响；自动下手动插入优先；手动停止后再有启动信号仍按预置逻辑工作</t>
        </is>
      </c>
      <c r="I122" s="2" t="n"/>
      <c r="J122" s="2" t="n"/>
      <c r="K122" s="2" t="n"/>
      <c r="L122" s="2" t="n"/>
      <c r="M122" s="2" t="n"/>
    </row>
    <row r="123">
      <c r="A123" s="2" t="n">
        <v>122</v>
      </c>
      <c r="B123" s="2" t="inlineStr">
        <is>
          <t>GE-05</t>
        </is>
      </c>
      <c r="C123" s="2" t="inlineStr">
        <is>
          <t>气体灭火控制器</t>
        </is>
      </c>
      <c r="D123" s="2" t="inlineStr">
        <is>
          <t>声信号优先级</t>
        </is>
      </c>
      <c r="E123" s="2" t="inlineStr">
        <is>
          <t>P1</t>
        </is>
      </c>
      <c r="F123" s="2" t="inlineStr">
        <is>
          <t>4.3.2.5 ↔ 5.3.1</t>
        </is>
      </c>
      <c r="G123" s="2" t="inlineStr">
        <is>
          <t>使喷洒声、启动声、故障声两两同时存在</t>
        </is>
      </c>
      <c r="H123" s="2" t="inlineStr">
        <is>
          <t>喷洒声 &gt; 启动控制声 &gt; 故障声</t>
        </is>
      </c>
      <c r="I123" s="2" t="n"/>
      <c r="J123" s="2" t="n"/>
      <c r="K123" s="2" t="n"/>
      <c r="L123" s="2" t="n"/>
      <c r="M123" s="2" t="n"/>
    </row>
    <row r="124">
      <c r="A124" s="2" t="n">
        <v>123</v>
      </c>
      <c r="B124" s="2" t="inlineStr">
        <is>
          <t>GE-06</t>
        </is>
      </c>
      <c r="C124" s="2" t="inlineStr">
        <is>
          <t>气体灭火控制器</t>
        </is>
      </c>
      <c r="D124" s="2" t="inlineStr">
        <is>
          <t>接收联动信号</t>
        </is>
      </c>
      <c r="E124" s="2" t="inlineStr">
        <is>
          <t>P0</t>
        </is>
      </c>
      <c r="F124" s="2" t="inlineStr">
        <is>
          <t>4.3.2.6</t>
        </is>
      </c>
      <c r="G124" s="2" t="inlineStr">
        <is>
          <t>消防联动控制器下发联动信号</t>
        </is>
      </c>
      <c r="H124" s="2" t="inlineStr">
        <is>
          <t>正确接收并按逻辑执行</t>
        </is>
      </c>
      <c r="I124" s="2" t="n"/>
      <c r="J124" s="2" t="n"/>
      <c r="K124" s="2" t="n"/>
      <c r="L124" s="2" t="n"/>
      <c r="M124" s="2" t="n"/>
    </row>
    <row r="125">
      <c r="A125" s="2" t="n">
        <v>124</v>
      </c>
      <c r="B125" s="2" t="inlineStr">
        <is>
          <t>GE-07</t>
        </is>
      </c>
      <c r="C125" s="2" t="inlineStr">
        <is>
          <t>气体灭火控制器</t>
        </is>
      </c>
      <c r="D125" s="2" t="inlineStr">
        <is>
          <t>分区警报器与分区指示</t>
        </is>
      </c>
      <c r="E125" s="2" t="inlineStr">
        <is>
          <t>P1</t>
        </is>
      </c>
      <c r="F125" s="2" t="inlineStr">
        <is>
          <t>4.3.2.7/4.3.2.8 ↔ 5.3.1</t>
        </is>
      </c>
      <c r="G125" s="2" t="inlineStr">
        <is>
          <t>逐区启动/停止声光警报器</t>
        </is>
      </c>
      <c r="H125" s="2" t="inlineStr">
        <is>
          <t>可分区启动和停止保护区域声光警报器；每个保护区域有独立工作状态指示灯</t>
        </is>
      </c>
      <c r="I125" s="2" t="n"/>
      <c r="J125" s="2" t="n"/>
      <c r="K125" s="2" t="n"/>
      <c r="L125" s="2" t="n"/>
      <c r="M125" s="2" t="n"/>
    </row>
    <row r="126">
      <c r="A126" s="2" t="n">
        <v>125</v>
      </c>
      <c r="B126" s="2" t="inlineStr">
        <is>
          <t>GE-08</t>
        </is>
      </c>
      <c r="C126" s="2" t="inlineStr">
        <is>
          <t>气体灭火控制器</t>
        </is>
      </c>
      <c r="D126" s="2" t="inlineStr">
        <is>
          <t>向联动控制器上报</t>
        </is>
      </c>
      <c r="E126" s="2" t="inlineStr">
        <is>
          <t>P0</t>
        </is>
      </c>
      <c r="F126" s="2" t="inlineStr">
        <is>
          <t>4.3.2.9 ↔ 5.3.1</t>
        </is>
      </c>
      <c r="G126" s="2" t="inlineStr">
        <is>
          <t>触发各阶段，在联动控制器（或模拟器）端核对</t>
        </is>
      </c>
      <c r="H126" s="2" t="inlineStr">
        <is>
          <t>能发送：启动控制信号、延时信号、启动喷洒控制信号、气体喷洒信号、故障信号、选择阀和瓶头阀动作信息</t>
        </is>
      </c>
      <c r="I126" s="2" t="n"/>
      <c r="J126" s="2" t="n"/>
      <c r="K126" s="2" t="n"/>
      <c r="L126" s="2" t="n"/>
      <c r="M126" s="2" t="n"/>
    </row>
    <row r="127">
      <c r="A127" s="2" t="n">
        <v>126</v>
      </c>
      <c r="B127" s="2" t="inlineStr">
        <is>
          <t>GE-09</t>
        </is>
      </c>
      <c r="C127" s="2" t="inlineStr">
        <is>
          <t>气体灭火控制器</t>
        </is>
      </c>
      <c r="D127" s="2" t="inlineStr">
        <is>
          <t>复位与状态重建</t>
        </is>
      </c>
      <c r="E127" s="2" t="inlineStr">
        <is>
          <t>P0</t>
        </is>
      </c>
      <c r="F127" s="2" t="inlineStr">
        <is>
          <t>4.3.2.11 ↔ 5.3.1</t>
        </is>
      </c>
      <c r="G127" s="2" t="inlineStr">
        <is>
          <t>启动保持状态下手动复位，计时</t>
        </is>
      </c>
      <c r="H127" s="2" t="inlineStr">
        <is>
          <t>设复位按键；复位后仍存在的状态和信息保持或 ≤20 s 重新建立</t>
        </is>
      </c>
      <c r="I127" s="2" t="n"/>
      <c r="J127" s="2" t="n"/>
      <c r="K127" s="2" t="n"/>
      <c r="L127" s="2" t="n"/>
      <c r="M127" s="2" t="n"/>
    </row>
    <row r="128">
      <c r="A128" s="2" t="n">
        <v>127</v>
      </c>
      <c r="B128" s="2" t="inlineStr">
        <is>
          <t>GE-10</t>
        </is>
      </c>
      <c r="C128" s="2" t="inlineStr">
        <is>
          <t>气体灭火控制器</t>
        </is>
      </c>
      <c r="D128" s="2" t="inlineStr">
        <is>
          <t>计时精度</t>
        </is>
      </c>
      <c r="E128" s="2" t="inlineStr">
        <is>
          <t>P1</t>
        </is>
      </c>
      <c r="F128" s="2" t="inlineStr">
        <is>
          <t>4.3.2.12 ↔ 5.3.1</t>
        </is>
      </c>
      <c r="G128" s="2" t="inlineStr">
        <is>
          <t>连续运行 24 h 比对</t>
        </is>
      </c>
      <c r="H128" s="2" t="inlineStr">
        <is>
          <t>日计时误差 ≤30 s；打印含月日时分，不能仅用打印机记录</t>
        </is>
      </c>
      <c r="I128" s="2" t="n"/>
      <c r="J128" s="2" t="n"/>
      <c r="K128" s="2" t="n"/>
      <c r="L128" s="2" t="n"/>
      <c r="M128" s="2" t="n"/>
    </row>
    <row r="129">
      <c r="A129" s="2" t="n">
        <v>128</v>
      </c>
      <c r="B129" s="2" t="inlineStr">
        <is>
          <t>GE-11</t>
        </is>
      </c>
      <c r="C129" s="2" t="inlineStr">
        <is>
          <t>气体灭火控制器</t>
        </is>
      </c>
      <c r="D129" s="2" t="inlineStr">
        <is>
          <t>输出特性</t>
        </is>
      </c>
      <c r="E129" s="2" t="inlineStr">
        <is>
          <t>P1</t>
        </is>
      </c>
      <c r="F129" s="2" t="inlineStr">
        <is>
          <t>4.3.2.10 ↔ 5.3.1</t>
        </is>
      </c>
      <c r="G129" s="2" t="inlineStr">
        <is>
          <t>测输出接点电压/电流/容量</t>
        </is>
      </c>
      <c r="H129" s="2" t="inlineStr">
        <is>
          <t>满足制造商规定</t>
        </is>
      </c>
      <c r="I129" s="2" t="n"/>
      <c r="J129" s="2" t="n"/>
      <c r="K129" s="2" t="n"/>
      <c r="L129" s="2" t="n"/>
      <c r="M129" s="2" t="n"/>
    </row>
    <row r="130">
      <c r="A130" s="2" t="n">
        <v>129</v>
      </c>
      <c r="B130" s="2" t="inlineStr">
        <is>
          <t>GE-12</t>
        </is>
      </c>
      <c r="C130" s="2" t="inlineStr">
        <is>
          <t>气体灭火控制器</t>
        </is>
      </c>
      <c r="D130" s="2" t="inlineStr">
        <is>
          <t>故障报警（部位/类型）</t>
        </is>
      </c>
      <c r="E130" s="2" t="inlineStr">
        <is>
          <t>P0</t>
        </is>
      </c>
      <c r="F130" s="2" t="inlineStr">
        <is>
          <t>4.3.3.1/4.3.3.2 ↔ 5.3.2</t>
        </is>
      </c>
      <c r="G130" s="2" t="inlineStr">
        <is>
          <t>分别制造：a) 警报器连线断/短/接地；b) 驱动部件、现场启停按键连线断/短/接地；c) 充电器-备电断/短；d) 备电-负载断/短；e) 主电欠压。计时</t>
        </is>
      </c>
      <c r="H130" s="2" t="inlineStr">
        <is>
          <t>≤100 s 故障声光（声可消可再启动，光保持至排除）；a)/b) 指示部位；c)/d)/e) 指示类型；故障指示灯点亮</t>
        </is>
      </c>
      <c r="I130" s="2" t="n"/>
      <c r="J130" s="2" t="n"/>
      <c r="K130" s="2" t="n"/>
      <c r="L130" s="2" t="n"/>
      <c r="M130" s="2" t="n"/>
    </row>
    <row r="131">
      <c r="A131" s="2" t="n">
        <v>130</v>
      </c>
      <c r="B131" s="2" t="inlineStr">
        <is>
          <t>GE-13</t>
        </is>
      </c>
      <c r="C131" s="2" t="inlineStr">
        <is>
          <t>气体灭火控制器</t>
        </is>
      </c>
      <c r="D131" s="2" t="inlineStr">
        <is>
          <t>阶段×故障双向互检</t>
        </is>
      </c>
      <c r="E131" s="2" t="inlineStr">
        <is>
          <t>P1</t>
        </is>
      </c>
      <c r="F131" s="2" t="inlineStr">
        <is>
          <t>↔ 5.3.2.2.2</t>
        </is>
      </c>
      <c r="G131" s="2" t="inlineStr">
        <is>
          <t>双向各测一遍：① 分别在启动控制、延时、启动喷洒、气体喷洒状态中制造故障；② 先使故障存在，再分别进入上述四个阶段</t>
        </is>
      </c>
      <c r="H131" s="2" t="inlineStr">
        <is>
          <t>① 各阶段中故障均正常显示且不打断当前流程；② 故障先存在时，流程照常推进且故障指示灯全程保持</t>
        </is>
      </c>
      <c r="I131" s="2" t="n"/>
      <c r="J131" s="2" t="n"/>
      <c r="K131" s="2" t="n"/>
      <c r="L131" s="2" t="n"/>
      <c r="M131" s="2" t="n"/>
    </row>
    <row r="132">
      <c r="A132" s="2" t="n">
        <v>131</v>
      </c>
      <c r="B132" s="2" t="inlineStr">
        <is>
          <t>GE-14</t>
        </is>
      </c>
      <c r="C132" s="2" t="inlineStr">
        <is>
          <t>气体灭火控制器</t>
        </is>
      </c>
      <c r="D132" s="2" t="inlineStr">
        <is>
          <t>故障复位复显与清空</t>
        </is>
      </c>
      <c r="E132" s="2" t="inlineStr">
        <is>
          <t>P0</t>
        </is>
      </c>
      <c r="F132" s="2" t="inlineStr">
        <is>
          <t>4.3.3.3 ↔ 5.3.2.2.5</t>
        </is>
      </c>
      <c r="G132" s="2" t="inlineStr">
        <is>
          <t>① 保留故障源手动复位，计时；② 排除所有故障源后观察（自动恢复的不复位；未自清的手动复位）</t>
        </is>
      </c>
      <c r="H132" s="2" t="inlineStr">
        <is>
          <t>① 尚存故障 ≤100 s 重新显示；② 全部排除后指示完全清空、无"幽灵故障"残留（与 FT-05 ② 同构）</t>
        </is>
      </c>
      <c r="I132" s="2" t="n"/>
      <c r="J132" s="2" t="n"/>
      <c r="K132" s="2" t="n"/>
      <c r="L132" s="2" t="n"/>
      <c r="M132" s="2" t="n"/>
    </row>
    <row r="133">
      <c r="A133" s="2" t="n">
        <v>132</v>
      </c>
      <c r="B133" s="2" t="inlineStr">
        <is>
          <t>GE-15</t>
        </is>
      </c>
      <c r="C133" s="2" t="inlineStr">
        <is>
          <t>气体灭火控制器</t>
        </is>
      </c>
      <c r="D133" s="2" t="inlineStr">
        <is>
          <t>自检不动作输出</t>
        </is>
      </c>
      <c r="E133" s="2" t="inlineStr">
        <is>
          <t>P0</t>
        </is>
      </c>
      <c r="F133" s="2" t="inlineStr">
        <is>
          <t>4.3.4.1 ↔ 5.3.3</t>
        </is>
      </c>
      <c r="G133" s="2" t="inlineStr">
        <is>
          <t>自检期间监视受控设备与输出接点；自检 &gt;1 min 时使非自检部位启动</t>
        </is>
      </c>
      <c r="H133" s="2" t="inlineStr">
        <is>
          <t>自检期间受控设备与输出接点均不动作；超 1 min 或不能自动停止时不影响非自检部位及本机灭火控制功能</t>
        </is>
      </c>
      <c r="I133" s="2" t="n"/>
      <c r="J133" s="2" t="n"/>
      <c r="K133" s="2" t="n"/>
      <c r="L133" s="2" t="n"/>
      <c r="M133" s="2" t="n"/>
    </row>
    <row r="134">
      <c r="A134" s="2" t="n">
        <v>133</v>
      </c>
      <c r="B134" s="2" t="inlineStr">
        <is>
          <t>GE-16</t>
        </is>
      </c>
      <c r="C134" s="2" t="inlineStr">
        <is>
          <t>气体灭火控制器</t>
        </is>
      </c>
      <c r="D134" s="2" t="inlineStr">
        <is>
          <t>面板自检</t>
        </is>
      </c>
      <c r="E134" s="2" t="inlineStr">
        <is>
          <t>P0</t>
        </is>
      </c>
      <c r="F134" s="2" t="inlineStr">
        <is>
          <t>4.3.4.2 ↔ 5.3.3</t>
        </is>
      </c>
      <c r="G134" s="2" t="inlineStr">
        <is>
          <t>手动检查音响、指示灯、显示器</t>
        </is>
      </c>
      <c r="H134" s="2" t="inlineStr">
        <is>
          <t>全部可手动检查</t>
        </is>
      </c>
      <c r="I134" s="2" t="n"/>
      <c r="J134" s="2" t="n"/>
      <c r="K134" s="2" t="n"/>
      <c r="L134" s="2" t="n"/>
      <c r="M134" s="2" t="n"/>
    </row>
    <row r="135">
      <c r="A135" s="2" t="n">
        <v>134</v>
      </c>
      <c r="B135" s="2" t="inlineStr">
        <is>
          <t>GE-17</t>
        </is>
      </c>
      <c r="C135" s="2" t="inlineStr">
        <is>
          <t>气体灭火控制器</t>
        </is>
      </c>
      <c r="D135" s="2" t="inlineStr">
        <is>
          <t>主备电转换</t>
        </is>
      </c>
      <c r="E135" s="2" t="inlineStr">
        <is>
          <t>P0</t>
        </is>
      </c>
      <c r="F135" s="2" t="inlineStr">
        <is>
          <t>4.3.5.1 ↔ 5.3.4</t>
        </is>
      </c>
      <c r="G135" s="2" t="inlineStr">
        <is>
          <t>断主电/恢复主电</t>
        </is>
      </c>
      <c r="H135" s="2" t="inlineStr">
        <is>
          <t>自动转换、状态指示、主电过流保护、转换不误动作</t>
        </is>
      </c>
      <c r="I135" s="2" t="n"/>
      <c r="J135" s="2" t="n"/>
      <c r="K135" s="2" t="n"/>
      <c r="L135" s="2" t="n"/>
      <c r="M135" s="2" t="n"/>
    </row>
    <row r="136">
      <c r="A136" s="2" t="n">
        <v>135</v>
      </c>
      <c r="B136" s="2" t="inlineStr">
        <is>
          <t>GE-18</t>
        </is>
      </c>
      <c r="C136" s="2" t="inlineStr">
        <is>
          <t>气体灭火控制器</t>
        </is>
      </c>
      <c r="D136" s="2" t="inlineStr">
        <is>
          <t>备电容量</t>
        </is>
      </c>
      <c r="E136" s="2" t="inlineStr">
        <is>
          <t>P2</t>
        </is>
      </c>
      <c r="F136" s="2" t="inlineStr">
        <is>
          <t>4.3.5.1 ↔ 5.3.4</t>
        </is>
      </c>
      <c r="G136" s="2" t="inlineStr">
        <is>
          <t>备电供电：正常监视 8 h → 启动状态 30 min</t>
        </is>
      </c>
      <c r="H136" s="2" t="inlineStr">
        <is>
          <t>全程正常工作</t>
        </is>
      </c>
      <c r="I136" s="2" t="n"/>
      <c r="J136" s="2" t="n"/>
      <c r="K136" s="2" t="n"/>
      <c r="L136" s="2" t="n"/>
      <c r="M136" s="2" t="n"/>
    </row>
    <row r="137">
      <c r="A137" s="2" t="n">
        <v>136</v>
      </c>
      <c r="B137" s="2" t="inlineStr">
        <is>
          <t>GE-19</t>
        </is>
      </c>
      <c r="C137" s="2" t="inlineStr">
        <is>
          <t>气体灭火控制器</t>
        </is>
      </c>
      <c r="D137" s="2" t="inlineStr">
        <is>
          <t>电压容限</t>
        </is>
      </c>
      <c r="E137" s="2" t="inlineStr">
        <is>
          <t>P0</t>
        </is>
      </c>
      <c r="F137" s="2" t="inlineStr">
        <is>
          <t>4.3.5.2 ↔ 5.3.4</t>
        </is>
      </c>
      <c r="G137" s="2" t="inlineStr">
        <is>
          <t>输入 187 V / 220 V / 242 V（频率偏差 ≤±1%）做基本功能试验</t>
        </is>
      </c>
      <c r="H137" s="2" t="inlineStr">
        <is>
          <t>全范围正常工作</t>
        </is>
      </c>
      <c r="I137" s="2" t="n"/>
      <c r="J137" s="2" t="n"/>
      <c r="K137" s="2" t="n"/>
      <c r="L137" s="2" t="n"/>
      <c r="M137" s="2" t="n"/>
    </row>
    <row r="138">
      <c r="A138" s="2" t="n">
        <v>137</v>
      </c>
      <c r="B138" s="2" t="inlineStr">
        <is>
          <t>GE-20</t>
        </is>
      </c>
      <c r="C138" s="2" t="inlineStr">
        <is>
          <t>气体灭火控制器</t>
        </is>
      </c>
      <c r="D138" s="2" t="inlineStr">
        <is>
          <t>现场数据断电保存</t>
        </is>
      </c>
      <c r="E138" s="2" t="inlineStr">
        <is>
          <t>P1</t>
        </is>
      </c>
      <c r="F138" s="2" t="inlineStr">
        <is>
          <t>4.1.5.2.4 b)</t>
        </is>
      </c>
      <c r="G138" s="2" t="inlineStr">
        <is>
          <t>断电 14 d 后上电检查现场设置数据</t>
        </is>
      </c>
      <c r="H138" s="2" t="inlineStr">
        <is>
          <t>保存 ≥14 d（或恢复供电 1 h 内可恢复）</t>
        </is>
      </c>
      <c r="I138" s="2" t="n"/>
      <c r="J138" s="2" t="n"/>
      <c r="K138" s="2" t="n"/>
      <c r="L138" s="2" t="n"/>
      <c r="M138" s="2" t="n"/>
    </row>
    <row r="139">
      <c r="A139" s="2" t="n">
        <v>138</v>
      </c>
      <c r="B139" s="2" t="inlineStr">
        <is>
          <t>GE-21</t>
        </is>
      </c>
      <c r="C139" s="2" t="inlineStr">
        <is>
          <t>气体灭火控制器</t>
        </is>
      </c>
      <c r="D139" s="2" t="inlineStr">
        <is>
          <t>数据输入防意外执行</t>
        </is>
      </c>
      <c r="E139" s="2" t="inlineStr">
        <is>
          <t>P1</t>
        </is>
      </c>
      <c r="F139" s="2" t="inlineStr">
        <is>
          <t>4.1.5.1.3</t>
        </is>
      </c>
      <c r="G139" s="2" t="inlineStr">
        <is>
          <t>各状态下输入数据</t>
        </is>
      </c>
      <c r="H139" s="2" t="inlineStr">
        <is>
          <t>不引起程序意外执行</t>
        </is>
      </c>
      <c r="I139" s="2" t="n"/>
      <c r="J139" s="2" t="n"/>
      <c r="K139" s="2" t="n"/>
      <c r="L139" s="2" t="n"/>
      <c r="M139" s="2" t="n"/>
    </row>
    <row r="140">
      <c r="A140" s="2" t="n">
        <v>139</v>
      </c>
      <c r="B140" s="2" t="inlineStr">
        <is>
          <t>EX-01</t>
        </is>
      </c>
      <c r="C140" s="2" t="inlineStr">
        <is>
          <t>结构与外观</t>
        </is>
      </c>
      <c r="D140" s="2" t="inlineStr">
        <is>
          <t>外观与包装</t>
        </is>
      </c>
      <c r="E140" s="2" t="inlineStr">
        <is>
          <t>P1</t>
        </is>
      </c>
      <c r="F140" s="2" t="inlineStr">
        <is>
          <t>完整包装、产品标志、合格标志、说明书；无腐蚀/脱漆/划伤/毛刺；紧固无松动</t>
        </is>
      </c>
      <c r="G140" s="2" t="inlineStr">
        <is>
          <t>（外观/设计检查项）</t>
        </is>
      </c>
      <c r="H140" s="2" t="inlineStr">
        <is>
          <t>GB 4717 5.2；GB 16806 5.1.5</t>
        </is>
      </c>
      <c r="I140" s="2" t="n"/>
      <c r="J140" s="2" t="n"/>
      <c r="K140" s="2" t="n"/>
      <c r="L140" s="2" t="n"/>
      <c r="M140" s="2" t="n"/>
    </row>
    <row r="141">
      <c r="A141" s="2" t="n">
        <v>140</v>
      </c>
      <c r="B141" s="2" t="inlineStr">
        <is>
          <t>EX-02</t>
        </is>
      </c>
      <c r="C141" s="2" t="inlineStr">
        <is>
          <t>结构与外观</t>
        </is>
      </c>
      <c r="D141" s="2" t="inlineStr">
        <is>
          <t>供电与接地</t>
        </is>
      </c>
      <c r="E141" s="2" t="inlineStr">
        <is>
          <t>P1</t>
        </is>
      </c>
      <c r="F141" s="2" t="inlineStr">
        <is>
          <t>主电 AC 220 V/50 Hz；保护接地；部件供电优先 DC 24 V；电源线独立接线端子</t>
        </is>
      </c>
      <c r="G141" s="2" t="inlineStr">
        <is>
          <t>（外观/设计检查项）</t>
        </is>
      </c>
      <c r="H141" s="2" t="inlineStr">
        <is>
          <t>GB 4717 5.3.1.2～5.3.1.4；GB 16806 4.3.1.1</t>
        </is>
      </c>
      <c r="I141" s="2" t="n"/>
      <c r="J141" s="2" t="n"/>
      <c r="K141" s="2" t="n"/>
      <c r="L141" s="2" t="n"/>
      <c r="M141" s="2" t="n"/>
    </row>
    <row r="142">
      <c r="A142" s="2" t="n">
        <v>141</v>
      </c>
      <c r="B142" s="2" t="inlineStr">
        <is>
          <t>EX-03</t>
        </is>
      </c>
      <c r="C142" s="2" t="inlineStr">
        <is>
          <t>结构与外观</t>
        </is>
      </c>
      <c r="D142" s="2" t="inlineStr">
        <is>
          <t>按键与面板（报警控制器）</t>
        </is>
      </c>
      <c r="E142" s="2" t="inlineStr">
        <is>
          <t>P1</t>
        </is>
      </c>
      <c r="F142" s="2" t="inlineStr">
        <is>
          <t>按键 ≥12 mm×12 mm（或 φ12）、间隔 ≥10 mm；指示灯/按键按标准图 1/图 2 顺序排列；中文标注；按键有提示音</t>
        </is>
      </c>
      <c r="G142" s="2" t="inlineStr">
        <is>
          <t>（外观/设计检查项）</t>
        </is>
      </c>
      <c r="H142" s="2" t="inlineStr">
        <is>
          <t>GB 4717 5.3.1.5/5.3.8</t>
        </is>
      </c>
      <c r="I142" s="2" t="n"/>
      <c r="J142" s="2" t="n"/>
      <c r="K142" s="2" t="n"/>
      <c r="L142" s="2" t="n"/>
      <c r="M142" s="2" t="n"/>
    </row>
    <row r="143">
      <c r="A143" s="2" t="n">
        <v>142</v>
      </c>
      <c r="B143" s="2" t="inlineStr">
        <is>
          <t>EX-04</t>
        </is>
      </c>
      <c r="C143" s="2" t="inlineStr">
        <is>
          <t>结构与外观</t>
        </is>
      </c>
      <c r="D143" s="2" t="inlineStr">
        <is>
          <t>指示灯颜色</t>
        </is>
      </c>
      <c r="E143" s="2" t="inlineStr">
        <is>
          <t>P1</t>
        </is>
      </c>
      <c r="F143" s="2" t="inlineStr">
        <is>
          <t>报警控制器：红=火警/监管/反馈/启动/延时/检查开启，黄=故障/系统故障/屏蔽/消音，绿=主备电/手动/自动/停止（GB 4717 5.3.2.1）。气灭控制器：红=火警/反馈/启动和延时，黄=故障/屏蔽/回路自检，绿=主备电（GB 16806 4.1.3.2.1）</t>
        </is>
      </c>
      <c r="G143" s="2" t="inlineStr">
        <is>
          <t>（外观/设计检查项）</t>
        </is>
      </c>
      <c r="H143" s="2" t="inlineStr">
        <is>
          <t>两标准分列</t>
        </is>
      </c>
      <c r="I143" s="2" t="n"/>
      <c r="J143" s="2" t="n"/>
      <c r="K143" s="2" t="n"/>
      <c r="L143" s="2" t="n"/>
      <c r="M143" s="2" t="n"/>
    </row>
    <row r="144">
      <c r="A144" s="2" t="n">
        <v>143</v>
      </c>
      <c r="B144" s="2" t="inlineStr">
        <is>
          <t>EX-05</t>
        </is>
      </c>
      <c r="C144" s="2" t="inlineStr">
        <is>
          <t>结构与外观</t>
        </is>
      </c>
      <c r="D144" s="2" t="inlineStr">
        <is>
          <t>指示灯可见性与闪动参数</t>
        </is>
      </c>
      <c r="E144" s="2" t="inlineStr">
        <is>
          <t>P1</t>
        </is>
      </c>
      <c r="F144" s="2" t="inlineStr">
        <is>
          <t>报警控制器：100～500 lx、22.5°，0.8 m/3 m（GB 4717 5.3.2.2）。气灭控制器：5～500 lx、22.5°、3 m；闪动灯单次点亮 ≥0.25 s，启动灯闪频 ≥1 Hz、故障灯 ≥0.2 Hz；一灯兼显故障/屏蔽/自检时：故障闪亮、屏蔽与自检常亮（GB 16806 4.1.3.2）</t>
        </is>
      </c>
      <c r="G144" s="2" t="inlineStr">
        <is>
          <t>（外观/设计检查项）</t>
        </is>
      </c>
      <c r="H144" s="2" t="inlineStr">
        <is>
          <t>两标准分列</t>
        </is>
      </c>
      <c r="I144" s="2" t="n"/>
      <c r="J144" s="2" t="n"/>
      <c r="K144" s="2" t="n"/>
      <c r="L144" s="2" t="n"/>
      <c r="M144" s="2" t="n"/>
    </row>
    <row r="145">
      <c r="A145" s="2" t="n">
        <v>144</v>
      </c>
      <c r="B145" s="2" t="inlineStr">
        <is>
          <t>EX-06</t>
        </is>
      </c>
      <c r="C145" s="2" t="inlineStr">
        <is>
          <t>结构与外观</t>
        </is>
      </c>
      <c r="D145" s="2" t="inlineStr">
        <is>
          <t>外壳防护与燃烧（报警控制器）</t>
        </is>
      </c>
      <c r="E145" s="2" t="inlineStr">
        <is>
          <t>P1</t>
        </is>
      </c>
      <c r="F145" s="2" t="inlineStr">
        <is>
          <t>≥IP30；非金属外壳过附录 A 燃烧试验（样块 80×10 mm，燃烧长度 ≤50 mm）</t>
        </is>
      </c>
      <c r="G145" s="2" t="inlineStr">
        <is>
          <t>（外观/设计检查项）</t>
        </is>
      </c>
      <c r="H145" s="2" t="inlineStr">
        <is>
          <t>GB 4717 5.3.1.8/5.3.1.9</t>
        </is>
      </c>
      <c r="I145" s="2" t="n"/>
      <c r="J145" s="2" t="n"/>
      <c r="K145" s="2" t="n"/>
      <c r="L145" s="2" t="n"/>
      <c r="M145" s="2" t="n"/>
    </row>
    <row r="146">
      <c r="A146" s="2" t="n">
        <v>145</v>
      </c>
      <c r="B146" s="2" t="inlineStr">
        <is>
          <t>EX-07</t>
        </is>
      </c>
      <c r="C146" s="2" t="inlineStr">
        <is>
          <t>结构与外观</t>
        </is>
      </c>
      <c r="D146" s="2" t="inlineStr">
        <is>
          <t>音响器件</t>
        </is>
      </c>
      <c r="E146" s="2" t="inlineStr">
        <is>
          <t>P1</t>
        </is>
      </c>
      <c r="F146" s="2" t="inlineStr">
        <is>
          <t>报警控制器：1 m 处 65～105 dB(A)、接线防脱耐 50 N（GB 4717 5.3.4）。气灭控制器：1 m 处 &gt;65 且 &lt;115 dB(A)（GB 16806 4.1.3.4.1）。两者：85% 额定电压下正常发声</t>
        </is>
      </c>
      <c r="G146" s="2" t="inlineStr">
        <is>
          <t>（外观/设计检查项）</t>
        </is>
      </c>
      <c r="H146" s="2" t="inlineStr">
        <is>
          <t>两标准分列</t>
        </is>
      </c>
      <c r="I146" s="2" t="n"/>
      <c r="J146" s="2" t="n"/>
      <c r="K146" s="2" t="n"/>
      <c r="L146" s="2" t="n"/>
      <c r="M146" s="2" t="n"/>
    </row>
    <row r="147">
      <c r="A147" s="2" t="n">
        <v>146</v>
      </c>
      <c r="B147" s="2" t="inlineStr">
        <is>
          <t>EX-08</t>
        </is>
      </c>
      <c r="C147" s="2" t="inlineStr">
        <is>
          <t>结构与外观</t>
        </is>
      </c>
      <c r="D147" s="2" t="inlineStr">
        <is>
          <t>过负荷/熔断器</t>
        </is>
      </c>
      <c r="E147" s="2" t="inlineStr">
        <is>
          <t>P1</t>
        </is>
      </c>
      <c r="F147" s="2" t="inlineStr">
        <is>
          <t>保护设定 ≤2 倍额定电流（&gt;6 A 时 1.5 倍）；参数标识清晰（GB 4717 另要求字高 ≥1.5 mm、DC/AC 分标）</t>
        </is>
      </c>
      <c r="G147" s="2" t="inlineStr">
        <is>
          <t>（外观/设计检查项）</t>
        </is>
      </c>
      <c r="H147" s="2" t="inlineStr">
        <is>
          <t>GB 4717 5.3.5；GB 16806 4.1.3.5</t>
        </is>
      </c>
      <c r="I147" s="2" t="n"/>
      <c r="J147" s="2" t="n"/>
      <c r="K147" s="2" t="n"/>
      <c r="L147" s="2" t="n"/>
      <c r="M147" s="2" t="n"/>
    </row>
    <row r="148">
      <c r="A148" s="2" t="n">
        <v>147</v>
      </c>
      <c r="B148" s="2" t="inlineStr">
        <is>
          <t>EX-09</t>
        </is>
      </c>
      <c r="C148" s="2" t="inlineStr">
        <is>
          <t>结构与外观</t>
        </is>
      </c>
      <c r="D148" s="2" t="inlineStr">
        <is>
          <t>端子与导线</t>
        </is>
      </c>
      <c r="E148" s="2" t="inlineStr">
        <is>
          <t>P1</t>
        </is>
      </c>
      <c r="F148" s="2" t="inlineStr">
        <is>
          <t>端子编号清晰；电池正极红线、负极黑/蓝线；（GB 16806）主电路配线阻燃（工作温度 &gt;105℃）、线槽氧指数 ≥28</t>
        </is>
      </c>
      <c r="G148" s="2" t="inlineStr">
        <is>
          <t>（外观/设计检查项）</t>
        </is>
      </c>
      <c r="H148" s="2" t="inlineStr">
        <is>
          <t>GB 4717 5.3.6/5.3.7.2；GB 16806 4.1.3.6/4.1.3.7.1/4.1.3.9</t>
        </is>
      </c>
      <c r="I148" s="2" t="n"/>
      <c r="J148" s="2" t="n"/>
      <c r="K148" s="2" t="n"/>
      <c r="L148" s="2" t="n"/>
      <c r="M148" s="2" t="n"/>
    </row>
    <row r="149">
      <c r="A149" s="2" t="n">
        <v>148</v>
      </c>
      <c r="B149" s="2" t="inlineStr">
        <is>
          <t>EX-10</t>
        </is>
      </c>
      <c r="C149" s="2" t="inlineStr">
        <is>
          <t>结构与外观</t>
        </is>
      </c>
      <c r="D149" s="2" t="inlineStr">
        <is>
          <t>元件温升（气灭控制器）</t>
        </is>
      </c>
      <c r="E149" s="2" t="inlineStr">
        <is>
          <t>P1</t>
        </is>
      </c>
      <c r="F149" s="2" t="inlineStr">
        <is>
          <t>主要元件温升 ≤60℃；变压器等表面 ≤90℃（25±3℃）；电池周围 ≤45℃</t>
        </is>
      </c>
      <c r="G149" s="2" t="inlineStr">
        <is>
          <t>（外观/设计检查项）</t>
        </is>
      </c>
      <c r="H149" s="2" t="inlineStr">
        <is>
          <t>GB 16806 4.1.3.10</t>
        </is>
      </c>
      <c r="I149" s="2" t="n"/>
      <c r="J149" s="2" t="n"/>
      <c r="K149" s="2" t="n"/>
      <c r="L149" s="2" t="n"/>
      <c r="M149" s="2" t="n"/>
    </row>
    <row r="150">
      <c r="A150" s="2" t="n">
        <v>149</v>
      </c>
      <c r="B150" s="2" t="inlineStr">
        <is>
          <t>EX-11</t>
        </is>
      </c>
      <c r="C150" s="2" t="inlineStr">
        <is>
          <t>结构与外观</t>
        </is>
      </c>
      <c r="D150" s="2" t="inlineStr">
        <is>
          <t>软件资料</t>
        </is>
      </c>
      <c r="E150" s="2" t="inlineStr">
        <is>
          <t>P1</t>
        </is>
      </c>
      <c r="F150" s="2" t="inlineStr">
        <is>
          <t>主程序流程/结构图、模块说明、存储器地址分配、软件版本号；程序存于不易丢失存储器；软件防非专门人员改动</t>
        </is>
      </c>
      <c r="G150" s="2" t="inlineStr">
        <is>
          <t>（外观/设计检查项）</t>
        </is>
      </c>
      <c r="H150" s="2" t="inlineStr">
        <is>
          <t>GB 4717 5.4.15；GB 16806 4.1.5</t>
        </is>
      </c>
      <c r="I150" s="2" t="n"/>
      <c r="J150" s="2" t="n"/>
      <c r="K150" s="2" t="n"/>
      <c r="L150" s="2" t="n"/>
      <c r="M150" s="2" t="n"/>
    </row>
    <row r="151">
      <c r="A151" s="2" t="n">
        <v>150</v>
      </c>
      <c r="B151" s="2" t="inlineStr">
        <is>
          <t>EX-12</t>
        </is>
      </c>
      <c r="C151" s="2" t="inlineStr">
        <is>
          <t>结构与外观</t>
        </is>
      </c>
      <c r="D151" s="2" t="inlineStr">
        <is>
          <t>产品标志</t>
        </is>
      </c>
      <c r="E151" s="2" t="inlineStr">
        <is>
          <t>P1</t>
        </is>
      </c>
      <c r="F151" s="2" t="inlineStr">
        <is>
          <t>名称型号、标准编号、生产者、制造日期与编号、供电参数、软件版本号、质检合格标志</t>
        </is>
      </c>
      <c r="G151" s="2" t="inlineStr">
        <is>
          <t>（外观/设计检查项）</t>
        </is>
      </c>
      <c r="H151" s="2" t="inlineStr">
        <is>
          <t>GB 4717 8；GB 16806 7</t>
        </is>
      </c>
      <c r="I151" s="2" t="n"/>
      <c r="J151" s="2" t="n"/>
      <c r="K151" s="2" t="n"/>
      <c r="L151" s="2" t="n"/>
      <c r="M151" s="2" t="n"/>
    </row>
    <row r="152">
      <c r="A152" s="2" t="n">
        <v>151</v>
      </c>
      <c r="B152" s="2" t="inlineStr">
        <is>
          <t>TT-01</t>
        </is>
      </c>
      <c r="C152" s="2" t="inlineStr">
        <is>
          <t>型式试验</t>
        </is>
      </c>
      <c r="D152" s="2" t="inlineStr">
        <is>
          <t>绝缘电阻</t>
        </is>
      </c>
      <c r="E152" s="2" t="inlineStr">
        <is>
          <t>P2</t>
        </is>
      </c>
      <c r="F152" s="2" t="inlineStr">
        <is>
          <t>见 TT 表</t>
        </is>
      </c>
      <c r="G152" s="2" t="inlineStr">
        <is>
          <t>500 V DC、60 s：端子-机壳 ≥20 MΩ、电源-机壳 ≥50 MΩ（5.13）</t>
        </is>
      </c>
      <c r="H152" s="2" t="inlineStr">
        <is>
          <t>气灭控制器条件：500 V DC、60 s，≥100 MΩ（5.5/6.16）</t>
        </is>
      </c>
      <c r="I152" s="2" t="n"/>
      <c r="J152" s="2" t="n"/>
      <c r="K152" s="2" t="n"/>
      <c r="L152" s="2" t="n"/>
      <c r="M152" s="2" t="n"/>
    </row>
    <row r="153">
      <c r="A153" s="2" t="n">
        <v>152</v>
      </c>
      <c r="B153" s="2" t="inlineStr">
        <is>
          <t>TT-02</t>
        </is>
      </c>
      <c r="C153" s="2" t="inlineStr">
        <is>
          <t>型式试验</t>
        </is>
      </c>
      <c r="D153" s="2" t="inlineStr">
        <is>
          <t>泄漏电流</t>
        </is>
      </c>
      <c r="E153" s="2" t="inlineStr">
        <is>
          <t>P2</t>
        </is>
      </c>
      <c r="F153" s="2" t="inlineStr">
        <is>
          <t>见 TT 表</t>
        </is>
      </c>
      <c r="G153" s="2" t="inlineStr">
        <is>
          <t>同左（5.14）</t>
        </is>
      </c>
      <c r="H153" s="2" t="inlineStr">
        <is>
          <t>气灭控制器条件：1.06 倍额定电压，≤0.5 mA（5.6/6.17）</t>
        </is>
      </c>
      <c r="I153" s="2" t="n"/>
      <c r="J153" s="2" t="n"/>
      <c r="K153" s="2" t="n"/>
      <c r="L153" s="2" t="n"/>
      <c r="M153" s="2" t="n"/>
    </row>
    <row r="154">
      <c r="A154" s="2" t="n">
        <v>153</v>
      </c>
      <c r="B154" s="2" t="inlineStr">
        <is>
          <t>TT-03</t>
        </is>
      </c>
      <c r="C154" s="2" t="inlineStr">
        <is>
          <t>型式试验</t>
        </is>
      </c>
      <c r="D154" s="2" t="inlineStr">
        <is>
          <t>电气强度</t>
        </is>
      </c>
      <c r="E154" s="2" t="inlineStr">
        <is>
          <t>P2</t>
        </is>
      </c>
      <c r="F154" s="2" t="inlineStr">
        <is>
          <t>见 TT 表</t>
        </is>
      </c>
      <c r="G154" s="2" t="inlineStr">
        <is>
          <t>表 4 未列 5.15，不做</t>
        </is>
      </c>
      <c r="H154" s="2" t="inlineStr">
        <is>
          <t>气灭控制器条件：1 250 V/50 Hz、60 s、升降压 100～500 V/s、不击穿（≤20 mA）（5.7/6.18）</t>
        </is>
      </c>
      <c r="I154" s="2" t="n"/>
      <c r="J154" s="2" t="n"/>
      <c r="K154" s="2" t="n"/>
      <c r="L154" s="2" t="n"/>
      <c r="M154" s="2" t="n"/>
    </row>
    <row r="155">
      <c r="A155" s="2" t="n">
        <v>154</v>
      </c>
      <c r="B155" s="2" t="inlineStr">
        <is>
          <t>TT-04</t>
        </is>
      </c>
      <c r="C155" s="2" t="inlineStr">
        <is>
          <t>型式试验</t>
        </is>
      </c>
      <c r="D155" s="2" t="inlineStr">
        <is>
          <t>射频电磁场辐射</t>
        </is>
      </c>
      <c r="E155" s="2" t="inlineStr">
        <is>
          <t>P2</t>
        </is>
      </c>
      <c r="F155" s="2" t="inlineStr">
        <is>
          <t>见 TT 表</t>
        </is>
      </c>
      <c r="G155" s="2" t="inlineStr">
        <is>
          <t>同参数（5.16）</t>
        </is>
      </c>
      <c r="H155" s="2" t="inlineStr">
        <is>
          <t>气灭控制器条件：10 V/m、80～1 000 MHz、80%AM(1 kHz)（6.19）</t>
        </is>
      </c>
      <c r="I155" s="2" t="n"/>
      <c r="J155" s="2" t="n"/>
      <c r="K155" s="2" t="n"/>
      <c r="L155" s="2" t="n"/>
      <c r="M155" s="2" t="n"/>
    </row>
    <row r="156">
      <c r="A156" s="2" t="n">
        <v>155</v>
      </c>
      <c r="B156" s="2" t="inlineStr">
        <is>
          <t>TT-05</t>
        </is>
      </c>
      <c r="C156" s="2" t="inlineStr">
        <is>
          <t>型式试验</t>
        </is>
      </c>
      <c r="D156" s="2" t="inlineStr">
        <is>
          <t>射频传导骚扰</t>
        </is>
      </c>
      <c r="E156" s="2" t="inlineStr">
        <is>
          <t>P2</t>
        </is>
      </c>
      <c r="F156" s="2" t="inlineStr">
        <is>
          <t>见 TT 表</t>
        </is>
      </c>
      <c r="G156" s="2" t="inlineStr">
        <is>
          <t>140 dBμV、0.15～100 MHz（5.17）</t>
        </is>
      </c>
      <c r="H156" s="2" t="inlineStr">
        <is>
          <t>气灭控制器条件：140 dBμV、0.15～80 MHz（6.20）</t>
        </is>
      </c>
      <c r="I156" s="2" t="n"/>
      <c r="J156" s="2" t="n"/>
      <c r="K156" s="2" t="n"/>
      <c r="L156" s="2" t="n"/>
      <c r="M156" s="2" t="n"/>
    </row>
    <row r="157">
      <c r="A157" s="2" t="n">
        <v>156</v>
      </c>
      <c r="B157" s="2" t="inlineStr">
        <is>
          <t>TT-06</t>
        </is>
      </c>
      <c r="C157" s="2" t="inlineStr">
        <is>
          <t>型式试验</t>
        </is>
      </c>
      <c r="D157" s="2" t="inlineStr">
        <is>
          <t>静电放电</t>
        </is>
      </c>
      <c r="E157" s="2" t="inlineStr">
        <is>
          <t>P2</t>
        </is>
      </c>
      <c r="F157" s="2" t="inlineStr">
        <is>
          <t>见 TT 表</t>
        </is>
      </c>
      <c r="G157" s="2" t="inlineStr">
        <is>
          <t>同参数（5.18）</t>
        </is>
      </c>
      <c r="H157" s="2" t="inlineStr">
        <is>
          <t>气灭控制器条件：空气 8 kV / 接触 6 kV、每点 10 次、间隔 ≥1 s（6.21）</t>
        </is>
      </c>
      <c r="I157" s="2" t="n"/>
      <c r="J157" s="2" t="n"/>
      <c r="K157" s="2" t="n"/>
      <c r="L157" s="2" t="n"/>
      <c r="M157" s="2" t="n"/>
    </row>
    <row r="158">
      <c r="A158" s="2" t="n">
        <v>157</v>
      </c>
      <c r="B158" s="2" t="inlineStr">
        <is>
          <t>TT-07</t>
        </is>
      </c>
      <c r="C158" s="2" t="inlineStr">
        <is>
          <t>型式试验</t>
        </is>
      </c>
      <c r="D158" s="2" t="inlineStr">
        <is>
          <t>电快速瞬变</t>
        </is>
      </c>
      <c r="E158" s="2" t="inlineStr">
        <is>
          <t>P2</t>
        </is>
      </c>
      <c r="F158" s="2" t="inlineStr">
        <is>
          <t>见 TT 表</t>
        </is>
      </c>
      <c r="G158" s="2" t="inlineStr">
        <is>
          <t>AC 线 2 kV/2.5 kHz、其他线 1 kV/5 kHz（5.19）</t>
        </is>
      </c>
      <c r="H158" s="2" t="inlineStr">
        <is>
          <t>气灭控制器条件：AC 线 2 kV/5 kHz、其他线 1 kV/5 kHz、每次 1 min×3（6.22）</t>
        </is>
      </c>
      <c r="I158" s="2" t="n"/>
      <c r="J158" s="2" t="n"/>
      <c r="K158" s="2" t="n"/>
      <c r="L158" s="2" t="n"/>
      <c r="M158" s="2" t="n"/>
    </row>
    <row r="159">
      <c r="A159" s="2" t="n">
        <v>158</v>
      </c>
      <c r="B159" s="2" t="inlineStr">
        <is>
          <t>TT-08</t>
        </is>
      </c>
      <c r="C159" s="2" t="inlineStr">
        <is>
          <t>型式试验</t>
        </is>
      </c>
      <c r="D159" s="2" t="inlineStr">
        <is>
          <t>浪涌</t>
        </is>
      </c>
      <c r="E159" s="2" t="inlineStr">
        <is>
          <t>P2</t>
        </is>
      </c>
      <c r="F159" s="2" t="inlineStr">
        <is>
          <t>见 TT 表</t>
        </is>
      </c>
      <c r="G159" s="2" t="inlineStr">
        <is>
          <t>AC 线-线 1 kV、线-地 2 kV；其他线-地 1 kV；5 次（5.20）</t>
        </is>
      </c>
      <c r="H159" s="2" t="inlineStr">
        <is>
          <t>气灭控制器条件：AC 线-线 1 kV、线-地 2 kV；其他线-地 1 kV、线-线 0.5 kV；5 次（6.23）</t>
        </is>
      </c>
      <c r="I159" s="2" t="n"/>
      <c r="J159" s="2" t="n"/>
      <c r="K159" s="2" t="n"/>
      <c r="L159" s="2" t="n"/>
      <c r="M159" s="2" t="n"/>
    </row>
    <row r="160">
      <c r="A160" s="2" t="n">
        <v>159</v>
      </c>
      <c r="B160" s="2" t="inlineStr">
        <is>
          <t>TT-09</t>
        </is>
      </c>
      <c r="C160" s="2" t="inlineStr">
        <is>
          <t>型式试验</t>
        </is>
      </c>
      <c r="D160" s="2" t="inlineStr">
        <is>
          <t>电源瞬变</t>
        </is>
      </c>
      <c r="E160" s="2" t="inlineStr">
        <is>
          <t>P2</t>
        </is>
      </c>
      <c r="F160" s="2" t="inlineStr">
        <is>
          <t>见 TT 表</t>
        </is>
      </c>
      <c r="G160" s="2" t="inlineStr">
        <is>
          <t>通 9 s/断 1 s×500 次（5.21）</t>
        </is>
      </c>
      <c r="H160" s="2" t="inlineStr">
        <is>
          <t>气灭控制器条件：通 9 s/断 1 s×500 次、6 次/min（6.24）</t>
        </is>
      </c>
      <c r="I160" s="2" t="n"/>
      <c r="J160" s="2" t="n"/>
      <c r="K160" s="2" t="n"/>
      <c r="L160" s="2" t="n"/>
      <c r="M160" s="2" t="n"/>
    </row>
    <row r="161">
      <c r="A161" s="2" t="n">
        <v>160</v>
      </c>
      <c r="B161" s="2" t="inlineStr">
        <is>
          <t>TT-10</t>
        </is>
      </c>
      <c r="C161" s="2" t="inlineStr">
        <is>
          <t>型式试验</t>
        </is>
      </c>
      <c r="D161" s="2" t="inlineStr">
        <is>
          <t>电压暂降</t>
        </is>
      </c>
      <c r="E161" s="2" t="inlineStr">
        <is>
          <t>P2</t>
        </is>
      </c>
      <c r="F161" s="2" t="inlineStr">
        <is>
          <t>见 TT 表</t>
        </is>
      </c>
      <c r="G161" s="2" t="inlineStr">
        <is>
          <t>40%/20 ms×10；0 V/10 ms×10（5.22）</t>
        </is>
      </c>
      <c r="H161" s="2" t="inlineStr">
        <is>
          <t>气灭控制器条件：40%/200 ms×10；0 V/20 ms×10（6.25）</t>
        </is>
      </c>
      <c r="I161" s="2" t="n"/>
      <c r="J161" s="2" t="n"/>
      <c r="K161" s="2" t="n"/>
      <c r="L161" s="2" t="n"/>
      <c r="M161" s="2" t="n"/>
    </row>
    <row r="162">
      <c r="A162" s="2" t="n">
        <v>161</v>
      </c>
      <c r="B162" s="2" t="inlineStr">
        <is>
          <t>TT-11</t>
        </is>
      </c>
      <c r="C162" s="2" t="inlineStr">
        <is>
          <t>型式试验</t>
        </is>
      </c>
      <c r="D162" s="2" t="inlineStr">
        <is>
          <t>低温（运行）</t>
        </is>
      </c>
      <c r="E162" s="2" t="inlineStr">
        <is>
          <t>P2</t>
        </is>
      </c>
      <c r="F162" s="2" t="inlineStr">
        <is>
          <t>见 TT 表</t>
        </is>
      </c>
      <c r="G162" s="2" t="inlineStr">
        <is>
          <t>0℃±3℃、16 h（5.23）</t>
        </is>
      </c>
      <c r="H162" s="2" t="inlineStr">
        <is>
          <t>气灭控制器条件：-10℃±2℃、16 h、变温 ≤1℃/min（6.26）</t>
        </is>
      </c>
      <c r="I162" s="2" t="n"/>
      <c r="J162" s="2" t="n"/>
      <c r="K162" s="2" t="n"/>
      <c r="L162" s="2" t="n"/>
      <c r="M162" s="2" t="n"/>
    </row>
    <row r="163">
      <c r="A163" s="2" t="n">
        <v>162</v>
      </c>
      <c r="B163" s="2" t="inlineStr">
        <is>
          <t>TT-12</t>
        </is>
      </c>
      <c r="C163" s="2" t="inlineStr">
        <is>
          <t>型式试验</t>
        </is>
      </c>
      <c r="D163" s="2" t="inlineStr">
        <is>
          <t>恒定湿热（运行）</t>
        </is>
      </c>
      <c r="E163" s="2" t="inlineStr">
        <is>
          <t>P2</t>
        </is>
      </c>
      <c r="F163" s="2" t="inlineStr">
        <is>
          <t>见 TT 表</t>
        </is>
      </c>
      <c r="G163" s="2" t="inlineStr">
        <is>
          <t>40℃±2℃、90%～95%RH、4 d（5.24）</t>
        </is>
      </c>
      <c r="H163" s="2" t="inlineStr">
        <is>
          <t>气灭控制器条件：40℃±2℃、93%±3%RH、4 d（6.27）</t>
        </is>
      </c>
      <c r="I163" s="2" t="n"/>
      <c r="J163" s="2" t="n"/>
      <c r="K163" s="2" t="n"/>
      <c r="L163" s="2" t="n"/>
      <c r="M163" s="2" t="n"/>
    </row>
    <row r="164">
      <c r="A164" s="2" t="n">
        <v>163</v>
      </c>
      <c r="B164" s="2" t="inlineStr">
        <is>
          <t>TT-13</t>
        </is>
      </c>
      <c r="C164" s="2" t="inlineStr">
        <is>
          <t>型式试验</t>
        </is>
      </c>
      <c r="D164" s="2" t="inlineStr">
        <is>
          <t>恒定湿热（耐久）</t>
        </is>
      </c>
      <c r="E164" s="2" t="inlineStr">
        <is>
          <t>P2</t>
        </is>
      </c>
      <c r="F164" s="2" t="inlineStr">
        <is>
          <t>见 TT 表</t>
        </is>
      </c>
      <c r="G164" s="2" t="inlineStr">
        <is>
          <t>表 4 未列 5.25，不做</t>
        </is>
      </c>
      <c r="H164" s="2" t="inlineStr">
        <is>
          <t>气灭控制器条件：40℃±2℃、93%±3%RH、21 d 不通电、恢复 12 h（6.28）</t>
        </is>
      </c>
      <c r="I164" s="2" t="n"/>
      <c r="J164" s="2" t="n"/>
      <c r="K164" s="2" t="n"/>
      <c r="L164" s="2" t="n"/>
      <c r="M164" s="2" t="n"/>
    </row>
    <row r="165">
      <c r="A165" s="2" t="n">
        <v>164</v>
      </c>
      <c r="B165" s="2" t="inlineStr">
        <is>
          <t>TT-14</t>
        </is>
      </c>
      <c r="C165" s="2" t="inlineStr">
        <is>
          <t>型式试验</t>
        </is>
      </c>
      <c r="D165" s="2" t="inlineStr">
        <is>
          <t>振动（运行）</t>
        </is>
      </c>
      <c r="E165" s="2" t="inlineStr">
        <is>
          <t>P2</t>
        </is>
      </c>
      <c r="F165" s="2" t="inlineStr">
        <is>
          <t>见 TT 表</t>
        </is>
      </c>
      <c r="G165" s="2" t="inlineStr">
        <is>
          <t>10～150 Hz、0.981 m/s²、3 轴各 1 循环（5.26）</t>
        </is>
      </c>
      <c r="H165" s="2" t="inlineStr">
        <is>
          <t>气灭控制器条件：10～150 Hz、5 m/s²、1 oct/min、3 轴各 1 循环（6.29）</t>
        </is>
      </c>
      <c r="I165" s="2" t="n"/>
      <c r="J165" s="2" t="n"/>
      <c r="K165" s="2" t="n"/>
      <c r="L165" s="2" t="n"/>
      <c r="M165" s="2" t="n"/>
    </row>
    <row r="166">
      <c r="A166" s="2" t="n">
        <v>165</v>
      </c>
      <c r="B166" s="2" t="inlineStr">
        <is>
          <t>TT-15</t>
        </is>
      </c>
      <c r="C166" s="2" t="inlineStr">
        <is>
          <t>型式试验</t>
        </is>
      </c>
      <c r="D166" s="2" t="inlineStr">
        <is>
          <t>碰撞</t>
        </is>
      </c>
      <c r="E166" s="2" t="inlineStr">
        <is>
          <t>P2</t>
        </is>
      </c>
      <c r="F166" s="2" t="inlineStr">
        <is>
          <t>见 TT 表</t>
        </is>
      </c>
      <c r="G166" s="2" t="inlineStr">
        <is>
          <t>同参数（5.28）</t>
        </is>
      </c>
      <c r="H166" s="2" t="inlineStr">
        <is>
          <t>气灭控制器条件：0.5 J±0.04 J×3 次/易损部件（6.30）</t>
        </is>
      </c>
      <c r="I166" s="2" t="n"/>
      <c r="J166" s="2" t="n"/>
      <c r="K166" s="2" t="n"/>
      <c r="L166" s="2" t="n"/>
      <c r="M166" s="2" t="n"/>
    </row>
    <row r="167">
      <c r="A167" s="2" t="n">
        <v>166</v>
      </c>
      <c r="B167" s="2" t="inlineStr">
        <is>
          <t>TT-16</t>
        </is>
      </c>
      <c r="C167" s="2" t="inlineStr">
        <is>
          <t>型式试验</t>
        </is>
      </c>
      <c r="D167" s="2" t="inlineStr">
        <is>
          <t>外壳燃烧（非金属外壳）</t>
        </is>
      </c>
      <c r="E167" s="2" t="inlineStr">
        <is>
          <t>P2</t>
        </is>
      </c>
      <c r="F167" s="2" t="inlineStr">
        <is>
          <t>见 TT 表</t>
        </is>
      </c>
      <c r="G167" s="2" t="inlineStr">
        <is>
          <t>—</t>
        </is>
      </c>
      <c r="H167" s="2" t="inlineStr">
        <is>
          <t>气灭控制器条件：附录 A：样块 80×10 mm、氧含量 28%、气流 40 mm/s、施焰 30 s；燃烧长度 ≤50 mm</t>
        </is>
      </c>
      <c r="I167" s="2" t="n"/>
      <c r="J167" s="2" t="n"/>
      <c r="K167" s="2" t="n"/>
      <c r="L167" s="2" t="n"/>
      <c r="M167" s="2" t="n"/>
    </row>
    <row r="168">
      <c r="A168" s="2" t="n">
        <v>167</v>
      </c>
      <c r="B168" s="2" t="inlineStr">
        <is>
          <t>TT-17</t>
        </is>
      </c>
      <c r="C168" s="2" t="inlineStr">
        <is>
          <t>型式试验</t>
        </is>
      </c>
      <c r="D168" s="2" t="inlineStr">
        <is>
          <t>备用电池全项</t>
        </is>
      </c>
      <c r="E168" s="2" t="inlineStr">
        <is>
          <t>P2</t>
        </is>
      </c>
      <c r="F168" s="2" t="inlineStr">
        <is>
          <t>见 TT 表</t>
        </is>
      </c>
      <c r="G168" s="2" t="inlineStr">
        <is>
          <t>GB 16806 附录 A：10 支试样，电压一致性/容量（常温 ≥90 min、-10℃ ≥50 min）/容量保存 ≥0.6/循环 10 次 ≥90%/过放 ≥0.9/5C₂₀ 大电流/密闭效率 ≥95%/防爆/防酸雾/跌落</t>
        </is>
      </c>
      <c r="H168" s="2" t="inlineStr">
        <is>
          <t>气灭控制器条件：—（按整机备电试验 PW-04）</t>
        </is>
      </c>
      <c r="I168" s="2" t="n"/>
      <c r="J168" s="2" t="n"/>
      <c r="K168" s="2" t="n"/>
      <c r="L168" s="2" t="n"/>
      <c r="M168" s="2" t="n"/>
    </row>
  </sheetData>
  <autoFilter ref="A1:M168"/>
  <conditionalFormatting sqref="J2:J168">
    <cfRule type="cellIs" priority="1" operator="equal" dxfId="0">
      <formula>"通过"</formula>
    </cfRule>
    <cfRule type="cellIs" priority="2" operator="equal" dxfId="1">
      <formula>"不通过"</formula>
    </cfRule>
  </conditionalFormatting>
  <dataValidations count="1">
    <dataValidation sqref="J2:J168" showDropDown="0" showInputMessage="0" showErrorMessage="0" allowBlank="1" type="list">
      <formula1>"通过,不通过,不适用,待测"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3" t="inlineStr">
        <is>
          <t>指标</t>
        </is>
      </c>
      <c r="B1" t="inlineStr">
        <is>
          <t>值</t>
        </is>
      </c>
    </row>
    <row r="2">
      <c r="A2" s="4" t="inlineStr">
        <is>
          <t>用例总数</t>
        </is>
      </c>
      <c r="B2" t="n">
        <v>167</v>
      </c>
    </row>
    <row r="3">
      <c r="A3" s="4" t="inlineStr">
        <is>
          <t>已测(是否通过非空)</t>
        </is>
      </c>
      <c r="B3">
        <f>COUNTA(测试执行表!J2:J168)-COUNTIF(测试执行表!J2:J168,"待测")</f>
        <v/>
      </c>
    </row>
    <row r="4">
      <c r="A4" s="4" t="inlineStr">
        <is>
          <t>通过</t>
        </is>
      </c>
      <c r="B4">
        <f>COUNTIF(测试执行表!J2:J168,"通过")</f>
        <v/>
      </c>
    </row>
    <row r="5">
      <c r="A5" s="4" t="inlineStr">
        <is>
          <t>不通过</t>
        </is>
      </c>
      <c r="B5">
        <f>COUNTIF(测试执行表!J2:J168,"不通过")</f>
        <v/>
      </c>
    </row>
    <row r="6">
      <c r="A6" s="4" t="inlineStr">
        <is>
          <t>不适用</t>
        </is>
      </c>
      <c r="B6">
        <f>COUNTIF(测试执行表!J2:J168,"不适用")</f>
        <v/>
      </c>
    </row>
    <row r="7">
      <c r="A7" s="4" t="inlineStr">
        <is>
          <t>通过率(通过/已测)</t>
        </is>
      </c>
      <c r="B7">
        <f>IF(B3=0,"-",B4/B3)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2026-08-18T03:07:38Z</dcterms:created>
  <dcterms:modified xsi:type="dcterms:W3CDTF">2026-08-18T03:07:38Z</dcterms:modified>
</cp:coreProperties>
</file>