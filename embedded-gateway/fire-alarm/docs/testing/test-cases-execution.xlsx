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2026-08-18</t>
        </is>
      </c>
      <c r="M5" s="3" t="n"/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暂不测试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暂不测试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暂不测试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暂不测试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暂不测试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暂不测试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暂不测试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暂不测试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通过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inlineStr">
        <is>
          <t>待测</t>
        </is>
      </c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inlineStr">
        <is>
          <t>通过</t>
        </is>
      </c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待条件：需第2个火警触发部位（再加1只烟感或手报）——消音后的『新火警』须来自新部位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待条件：需第2个火警触发部位（同上）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暂不测试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暂不测试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暂不测试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暂不测试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暂不测试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暂不测试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暂不测试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inlineStr">
        <is>
          <t>通过</t>
        </is>
      </c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inlineStr">
        <is>
          <t>待测</t>
        </is>
      </c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暂不测试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inlineStr">
        <is>
          <t>通过</t>
        </is>
      </c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暂不测试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inlineStr">
        <is>
          <t>通过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inlineStr">
        <is>
          <t>通过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inlineStr">
        <is>
          <t>不适用</t>
        </is>
      </c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inlineStr">
        <is>
          <t>通过</t>
        </is>
      </c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inlineStr">
        <is>
          <t>不适用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inlineStr">
        <is>
          <t>不适用</t>
        </is>
      </c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inlineStr">
        <is>
          <t>通过</t>
        </is>
      </c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inlineStr">
        <is>
          <t>待测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inlineStr">
        <is>
          <t>通过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暂不测试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inlineStr">
        <is>
          <t>待测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inlineStr">
        <is>
          <t>待测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inlineStr">
        <is>
          <t>待测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inlineStr">
        <is>
          <t>待测</t>
        </is>
      </c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inlineStr">
        <is>
          <t>通过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inlineStr">
        <is>
          <t>待测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inlineStr">
        <is>
          <t>待测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inlineStr">
        <is>
          <t>待测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inlineStr">
        <is>
          <t>待测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inlineStr">
        <is>
          <t>待测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inlineStr">
        <is>
          <t>待测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inlineStr">
        <is>
          <t>待测</t>
        </is>
      </c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inlineStr">
        <is>
          <t>待测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inlineStr">
        <is>
          <t>通过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待条件：需第2个火警触发部位（消音后新火警再响）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inlineStr">
        <is>
          <t>通过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inlineStr">
        <is>
          <t>通过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通过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待条件：需消防电气控制装置对端（FECbus）；⚠️标通过与待条件（需FECbus对端）矛盾，请复核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inlineStr">
        <is>
          <t>不适用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暂不测试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暂不测试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暂不测试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暂不测试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暂不测试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暂不测试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暂不测试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暂不测试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暂不测试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暂不测试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暂不测试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暂不测试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暂不测试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暂不测试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暂不测试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暂不测试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暂不测试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暂不测试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暂不测试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暂不测试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暂不测试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暂不测试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暂不测试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暂不测试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暂不测试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暂不测试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暂不测试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暂不测试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暂不测试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暂不测试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暂不测试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暂不测试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暂不测试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暂不测试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暂不测试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暂不测试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暂不测试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暂不测试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暂不测试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暂不测试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暂不测试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暂不测试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暂不测试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暂不测试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暂不测试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暂不测试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暂不测试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暂不测试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暂不测试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暂不测试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暂不测试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inlineStr">
        <is>
          <t>待测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inlineStr">
        <is>
          <t>待测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inlineStr">
        <is>
          <t>待测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inlineStr">
        <is>
          <t>不通过</t>
        </is>
      </c>
      <c r="K455" s="2" t="n"/>
      <c r="L455" s="2" t="n"/>
      <c r="M455" s="3" t="inlineStr">
        <is>
          <t>⚠️红线：延时0～30s可调+手动停止是GB16806必做项，不通过必须整改（非可选）</t>
        </is>
      </c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inlineStr">
        <is>
          <t>不通过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inlineStr">
        <is>
          <t>不通过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inlineStr">
        <is>
          <t>通过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inlineStr">
        <is>
          <t>通过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inlineStr">
        <is>
          <t>通过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inlineStr">
        <is>
          <t>通过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inlineStr">
        <is>
          <t>通过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暂不测试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inlineStr">
        <is>
          <t>通过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inlineStr">
        <is>
          <t>通过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暂不测试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暂不测试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暂不测试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暂不测试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暂不测试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暂不测试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暂不测试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暂不测试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暂不测试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暂不测试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暂不测试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暂不测试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暂不测试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暂不测试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暂不测试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暂不测试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暂不测试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暂不测试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暂不测试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暂不测试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暂不测试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暂不测试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暂不测试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暂不测试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暂不测试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暂不测试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暂不测试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暂不测试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暂不测试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暂不测试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暂不测试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暂不测试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暂不测试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暂不测试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暂不测试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暂不测试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暂不测试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暂不测试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暂不测试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暂不测试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暂不测试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暂不测试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暂不测试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暂不测试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暂不测试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暂不测试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暂不测试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暂不测试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暂不测试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暂不测试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暂不测试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暂不测试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暂不测试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暂不测试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暂不测试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暂不测试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暂不测试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暂不测试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暂不测试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暂不测试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暂不测试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暂不测试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暂不测试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暂不测试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暂不测试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暂不测试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  <row r="635">
      <c r="A635" s="15" t="n">
        <v>634</v>
      </c>
      <c r="B635" s="15" t="inlineStr">
        <is>
          <t>FT-04.5</t>
        </is>
      </c>
      <c r="C635" s="15" t="inlineStr">
        <is>
          <t>故障报警</t>
        </is>
      </c>
      <c r="D635" s="15" t="inlineStr">
        <is>
          <t>消音灯·新故障熄灭</t>
        </is>
      </c>
      <c r="E635" s="15" t="inlineStr">
        <is>
          <t>P0</t>
        </is>
      </c>
      <c r="F635" s="15" t="inlineStr">
        <is>
          <t>5.4.3.2/5.3.1.5</t>
        </is>
      </c>
      <c r="G635" s="15" t="inlineStr">
        <is>
          <t>故障①→消音（灯亮）→制造故障②（拔另一部件支线）</t>
        </is>
      </c>
      <c r="H635" s="15" t="inlineStr">
        <is>
          <t>声再启动的同时消音灯熄灭——消音灯指示『当前消音状态』，声音重新启动即状态结束</t>
        </is>
      </c>
      <c r="I635" s="15" t="inlineStr">
        <is>
          <t>新故障输入后消音灯仍亮</t>
        </is>
      </c>
      <c r="J635" s="15" t="inlineStr">
        <is>
          <t>不通过</t>
        </is>
      </c>
      <c r="K635" s="15" t="inlineStr"/>
      <c r="L635" s="15" t="inlineStr">
        <is>
          <t>2026-08-19</t>
        </is>
      </c>
      <c r="M635" s="15" t="inlineStr">
        <is>
          <t>现场实测补充用例；声再启动正常（FT-04.1 通过），仅灯状态机错；疑与 UI-11.5 消音灯常亮同源</t>
        </is>
      </c>
    </row>
  </sheetData>
  <autoFilter ref="A1:M635"/>
  <dataValidations count="11">
    <dataValidation sqref="J2:J606" showDropDown="0" showInputMessage="0" showErrorMessage="0" allowBlank="1" type="list">
      <formula1>"通过,不通过,不适用,待测,暂不测试"</formula1>
    </dataValidation>
    <dataValidation sqref="J2:J608" showDropDown="0" showInputMessage="0" showErrorMessage="0" allowBlank="1" type="list">
      <formula1>"通过,不通过,不适用,待测,暂不测试"</formula1>
    </dataValidation>
    <dataValidation sqref="J2:J611" showDropDown="0" showInputMessage="0" showErrorMessage="0" allowBlank="1" type="list">
      <formula1>"通过,不通过,不适用,待测,暂不测试"</formula1>
    </dataValidation>
    <dataValidation sqref="J2:J614" showDropDown="0" showInputMessage="0" showErrorMessage="0" allowBlank="1" type="list">
      <formula1>"通过,不通过,不适用,待测,暂不测试"</formula1>
    </dataValidation>
    <dataValidation sqref="J2:J617" showDropDown="0" showInputMessage="0" showErrorMessage="0" allowBlank="1" type="list">
      <formula1>"通过,不通过,不适用,待测,暂不测试"</formula1>
    </dataValidation>
    <dataValidation sqref="J2:J623" showDropDown="0" showInputMessage="0" showErrorMessage="0" allowBlank="1" type="list">
      <formula1>"通过,不通过,不适用,待测,暂不测试"</formula1>
    </dataValidation>
    <dataValidation sqref="J2:J628" showDropDown="0" showInputMessage="0" showErrorMessage="0" allowBlank="1" type="list">
      <formula1>"通过,不通过,不适用,待测,暂不测试"</formula1>
    </dataValidation>
    <dataValidation sqref="J2:J630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4" showDropDown="0" showInputMessage="0" showErrorMessage="0" allowBlank="1" type="list">
      <formula1>"通过,不通过,不适用,待测,暂不测试"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634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COUNTIF(测试执行表!C2:C635,A2)</f>
        <v/>
      </c>
      <c r="C2">
        <f>COUNTIFS(测试执行表!C2:C635,A2,测试执行表!J2:J635,"通过")</f>
        <v/>
      </c>
      <c r="D2">
        <f>COUNTIFS(测试执行表!C2:C635,A2,测试执行表!J2:J635,"不通过")</f>
        <v/>
      </c>
      <c r="E2">
        <f>COUNTIFS(测试执行表!C2:C635,A2,测试执行表!J2:J635,"不适用")</f>
        <v/>
      </c>
      <c r="F2">
        <f>COUNTIFS(测试执行表!C2:C635,A2,测试执行表!J2:J635,"待测")+COUNTIFS(测试执行表!C2:C635,A2,测试执行表!J2:J635,"暂不测试")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COUNTIF(测试执行表!C2:C635,A3)</f>
        <v/>
      </c>
      <c r="C3">
        <f>COUNTIFS(测试执行表!C2:C635,A3,测试执行表!J2:J635,"通过")</f>
        <v/>
      </c>
      <c r="D3">
        <f>COUNTIFS(测试执行表!C2:C635,A3,测试执行表!J2:J635,"不通过")</f>
        <v/>
      </c>
      <c r="E3">
        <f>COUNTIFS(测试执行表!C2:C635,A3,测试执行表!J2:J635,"不适用")</f>
        <v/>
      </c>
      <c r="F3">
        <f>COUNTIFS(测试执行表!C2:C635,A3,测试执行表!J2:J635,"待测")+COUNTIFS(测试执行表!C2:C635,A3,测试执行表!J2:J635,"暂不测试")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COUNTIF(测试执行表!C2:C635,A4)</f>
        <v/>
      </c>
      <c r="C4">
        <f>COUNTIFS(测试执行表!C2:C635,A4,测试执行表!J2:J635,"通过")</f>
        <v/>
      </c>
      <c r="D4">
        <f>COUNTIFS(测试执行表!C2:C635,A4,测试执行表!J2:J635,"不通过")</f>
        <v/>
      </c>
      <c r="E4">
        <f>COUNTIFS(测试执行表!C2:C635,A4,测试执行表!J2:J635,"不适用")</f>
        <v/>
      </c>
      <c r="F4">
        <f>COUNTIFS(测试执行表!C2:C635,A4,测试执行表!J2:J635,"待测")+COUNTIFS(测试执行表!C2:C635,A4,测试执行表!J2:J635,"暂不测试")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COUNTIF(测试执行表!C2:C635,A5)</f>
        <v/>
      </c>
      <c r="C5">
        <f>COUNTIFS(测试执行表!C2:C635,A5,测试执行表!J2:J635,"通过")</f>
        <v/>
      </c>
      <c r="D5">
        <f>COUNTIFS(测试执行表!C2:C635,A5,测试执行表!J2:J635,"不通过")</f>
        <v/>
      </c>
      <c r="E5">
        <f>COUNTIFS(测试执行表!C2:C635,A5,测试执行表!J2:J635,"不适用")</f>
        <v/>
      </c>
      <c r="F5">
        <f>COUNTIFS(测试执行表!C2:C635,A5,测试执行表!J2:J635,"待测")+COUNTIFS(测试执行表!C2:C635,A5,测试执行表!J2:J635,"暂不测试")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COUNTIF(测试执行表!C2:C635,A6)</f>
        <v/>
      </c>
      <c r="C6">
        <f>COUNTIFS(测试执行表!C2:C635,A6,测试执行表!J2:J635,"通过")</f>
        <v/>
      </c>
      <c r="D6">
        <f>COUNTIFS(测试执行表!C2:C635,A6,测试执行表!J2:J635,"不通过")</f>
        <v/>
      </c>
      <c r="E6">
        <f>COUNTIFS(测试执行表!C2:C635,A6,测试执行表!J2:J635,"不适用")</f>
        <v/>
      </c>
      <c r="F6">
        <f>COUNTIFS(测试执行表!C2:C635,A6,测试执行表!J2:J635,"待测")+COUNTIFS(测试执行表!C2:C635,A6,测试执行表!J2:J635,"暂不测试")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COUNTIF(测试执行表!C2:C635,A7)</f>
        <v/>
      </c>
      <c r="C7">
        <f>COUNTIFS(测试执行表!C2:C635,A7,测试执行表!J2:J635,"通过")</f>
        <v/>
      </c>
      <c r="D7">
        <f>COUNTIFS(测试执行表!C2:C635,A7,测试执行表!J2:J635,"不通过")</f>
        <v/>
      </c>
      <c r="E7">
        <f>COUNTIFS(测试执行表!C2:C635,A7,测试执行表!J2:J635,"不适用")</f>
        <v/>
      </c>
      <c r="F7">
        <f>COUNTIFS(测试执行表!C2:C635,A7,测试执行表!J2:J635,"待测")+COUNTIFS(测试执行表!C2:C635,A7,测试执行表!J2:J635,"暂不测试")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COUNTIF(测试执行表!C2:C635,A8)</f>
        <v/>
      </c>
      <c r="C8">
        <f>COUNTIFS(测试执行表!C2:C635,A8,测试执行表!J2:J635,"通过")</f>
        <v/>
      </c>
      <c r="D8">
        <f>COUNTIFS(测试执行表!C2:C635,A8,测试执行表!J2:J635,"不通过")</f>
        <v/>
      </c>
      <c r="E8">
        <f>COUNTIFS(测试执行表!C2:C635,A8,测试执行表!J2:J635,"不适用")</f>
        <v/>
      </c>
      <c r="F8">
        <f>COUNTIFS(测试执行表!C2:C635,A8,测试执行表!J2:J635,"待测")+COUNTIFS(测试执行表!C2:C635,A8,测试执行表!J2:J635,"暂不测试")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COUNTIF(测试执行表!C2:C635,A9)</f>
        <v/>
      </c>
      <c r="C9">
        <f>COUNTIFS(测试执行表!C2:C635,A9,测试执行表!J2:J635,"通过")</f>
        <v/>
      </c>
      <c r="D9">
        <f>COUNTIFS(测试执行表!C2:C635,A9,测试执行表!J2:J635,"不通过")</f>
        <v/>
      </c>
      <c r="E9">
        <f>COUNTIFS(测试执行表!C2:C635,A9,测试执行表!J2:J635,"不适用")</f>
        <v/>
      </c>
      <c r="F9">
        <f>COUNTIFS(测试执行表!C2:C635,A9,测试执行表!J2:J635,"待测")+COUNTIFS(测试执行表!C2:C635,A9,测试执行表!J2:J635,"暂不测试")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COUNTIF(测试执行表!C2:C635,A10)</f>
        <v/>
      </c>
      <c r="C10">
        <f>COUNTIFS(测试执行表!C2:C635,A10,测试执行表!J2:J635,"通过")</f>
        <v/>
      </c>
      <c r="D10">
        <f>COUNTIFS(测试执行表!C2:C635,A10,测试执行表!J2:J635,"不通过")</f>
        <v/>
      </c>
      <c r="E10">
        <f>COUNTIFS(测试执行表!C2:C635,A10,测试执行表!J2:J635,"不适用")</f>
        <v/>
      </c>
      <c r="F10">
        <f>COUNTIFS(测试执行表!C2:C635,A10,测试执行表!J2:J635,"待测")+COUNTIFS(测试执行表!C2:C635,A10,测试执行表!J2:J635,"暂不测试")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COUNTIF(测试执行表!C2:C635,A11)</f>
        <v/>
      </c>
      <c r="C11">
        <f>COUNTIFS(测试执行表!C2:C635,A11,测试执行表!J2:J635,"通过")</f>
        <v/>
      </c>
      <c r="D11">
        <f>COUNTIFS(测试执行表!C2:C635,A11,测试执行表!J2:J635,"不通过")</f>
        <v/>
      </c>
      <c r="E11">
        <f>COUNTIFS(测试执行表!C2:C635,A11,测试执行表!J2:J635,"不适用")</f>
        <v/>
      </c>
      <c r="F11">
        <f>COUNTIFS(测试执行表!C2:C635,A11,测试执行表!J2:J635,"待测")+COUNTIFS(测试执行表!C2:C635,A11,测试执行表!J2:J635,"暂不测试")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COUNTIF(测试执行表!C2:C635,A12)</f>
        <v/>
      </c>
      <c r="C12">
        <f>COUNTIFS(测试执行表!C2:C635,A12,测试执行表!J2:J635,"通过")</f>
        <v/>
      </c>
      <c r="D12">
        <f>COUNTIFS(测试执行表!C2:C635,A12,测试执行表!J2:J635,"不通过")</f>
        <v/>
      </c>
      <c r="E12">
        <f>COUNTIFS(测试执行表!C2:C635,A12,测试执行表!J2:J635,"不适用")</f>
        <v/>
      </c>
      <c r="F12">
        <f>COUNTIFS(测试执行表!C2:C635,A12,测试执行表!J2:J635,"待测")+COUNTIFS(测试执行表!C2:C635,A12,测试执行表!J2:J635,"暂不测试")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COUNTIF(测试执行表!C2:C635,A13)</f>
        <v/>
      </c>
      <c r="C13">
        <f>COUNTIFS(测试执行表!C2:C635,A13,测试执行表!J2:J635,"通过")</f>
        <v/>
      </c>
      <c r="D13">
        <f>COUNTIFS(测试执行表!C2:C635,A13,测试执行表!J2:J635,"不通过")</f>
        <v/>
      </c>
      <c r="E13">
        <f>COUNTIFS(测试执行表!C2:C635,A13,测试执行表!J2:J635,"不适用")</f>
        <v/>
      </c>
      <c r="F13">
        <f>COUNTIFS(测试执行表!C2:C635,A13,测试执行表!J2:J635,"待测")+COUNTIFS(测试执行表!C2:C635,A13,测试执行表!J2:J635,"暂不测试")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COUNTIF(测试执行表!C2:C635,A14)</f>
        <v/>
      </c>
      <c r="C14">
        <f>COUNTIFS(测试执行表!C2:C635,A14,测试执行表!J2:J635,"通过")</f>
        <v/>
      </c>
      <c r="D14">
        <f>COUNTIFS(测试执行表!C2:C635,A14,测试执行表!J2:J635,"不通过")</f>
        <v/>
      </c>
      <c r="E14">
        <f>COUNTIFS(测试执行表!C2:C635,A14,测试执行表!J2:J635,"不适用")</f>
        <v/>
      </c>
      <c r="F14">
        <f>COUNTIFS(测试执行表!C2:C635,A14,测试执行表!J2:J635,"待测")+COUNTIFS(测试执行表!C2:C635,A14,测试执行表!J2:J635,"暂不测试")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COUNTIF(测试执行表!C2:C635,A15)</f>
        <v/>
      </c>
      <c r="C15">
        <f>COUNTIFS(测试执行表!C2:C635,A15,测试执行表!J2:J635,"通过")</f>
        <v/>
      </c>
      <c r="D15">
        <f>COUNTIFS(测试执行表!C2:C635,A15,测试执行表!J2:J635,"不通过")</f>
        <v/>
      </c>
      <c r="E15">
        <f>COUNTIFS(测试执行表!C2:C635,A15,测试执行表!J2:J635,"不适用")</f>
        <v/>
      </c>
      <c r="F15">
        <f>COUNTIFS(测试执行表!C2:C635,A15,测试执行表!J2:J635,"待测")+COUNTIFS(测试执行表!C2:C635,A15,测试执行表!J2:J635,"暂不测试")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COUNTIF(测试执行表!C2:C635,A16)</f>
        <v/>
      </c>
      <c r="C16">
        <f>COUNTIFS(测试执行表!C2:C635,A16,测试执行表!J2:J635,"通过")</f>
        <v/>
      </c>
      <c r="D16">
        <f>COUNTIFS(测试执行表!C2:C635,A16,测试执行表!J2:J635,"不通过")</f>
        <v/>
      </c>
      <c r="E16">
        <f>COUNTIFS(测试执行表!C2:C635,A16,测试执行表!J2:J635,"不适用")</f>
        <v/>
      </c>
      <c r="F16">
        <f>COUNTIFS(测试执行表!C2:C635,A16,测试执行表!J2:J635,"待测")+COUNTIFS(测试执行表!C2:C635,A16,测试执行表!J2:J635,"暂不测试")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COUNTIF(测试执行表!C2:C635,A17)</f>
        <v/>
      </c>
      <c r="C17">
        <f>COUNTIFS(测试执行表!C2:C635,A17,测试执行表!J2:J635,"通过")</f>
        <v/>
      </c>
      <c r="D17">
        <f>COUNTIFS(测试执行表!C2:C635,A17,测试执行表!J2:J635,"不通过")</f>
        <v/>
      </c>
      <c r="E17">
        <f>COUNTIFS(测试执行表!C2:C635,A17,测试执行表!J2:J635,"不适用")</f>
        <v/>
      </c>
      <c r="F17">
        <f>COUNTIFS(测试执行表!C2:C635,A17,测试执行表!J2:J635,"待测")+COUNTIFS(测试执行表!C2:C635,A17,测试执行表!J2:J635,"暂不测试")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COUNTIF(测试执行表!C2:C635,A18)</f>
        <v/>
      </c>
      <c r="C18">
        <f>COUNTIFS(测试执行表!C2:C635,A18,测试执行表!J2:J635,"通过")</f>
        <v/>
      </c>
      <c r="D18">
        <f>COUNTIFS(测试执行表!C2:C635,A18,测试执行表!J2:J635,"不通过")</f>
        <v/>
      </c>
      <c r="E18">
        <f>COUNTIFS(测试执行表!C2:C635,A18,测试执行表!J2:J635,"不适用")</f>
        <v/>
      </c>
      <c r="F18">
        <f>COUNTIFS(测试执行表!C2:C635,A18,测试执行表!J2:J635,"待测")+COUNTIFS(测试执行表!C2:C635,A18,测试执行表!J2:J635,"暂不测试")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SUM(C2:C635)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2026-08-19T06:08:34Z</dcterms:modified>
</cp:coreProperties>
</file>